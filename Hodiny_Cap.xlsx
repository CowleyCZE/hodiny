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wley\Desktop\Programovani\prace\"/>
    </mc:Choice>
  </mc:AlternateContent>
  <xr:revisionPtr revIDLastSave="0" documentId="13_ncr:1_{5E54516E-342D-410E-A723-065206EF5703}" xr6:coauthVersionLast="47" xr6:coauthVersionMax="47" xr10:uidLastSave="{00000000-0000-0000-0000-000000000000}"/>
  <bookViews>
    <workbookView xWindow="3120" yWindow="3120" windowWidth="18000" windowHeight="9810" firstSheet="1" activeTab="6" xr2:uid="{00000000-000D-0000-FFFF-FFFF00000000}"/>
  </bookViews>
  <sheets>
    <sheet name="VZOR JAK VYPLNIT" sheetId="1" r:id="rId1"/>
    <sheet name="Zálohy" sheetId="2" r:id="rId2"/>
    <sheet name="Týden" sheetId="3" r:id="rId3"/>
    <sheet name="Týden 38" sheetId="4" r:id="rId4"/>
    <sheet name="Týden 39" sheetId="5" r:id="rId5"/>
    <sheet name="Týden 40" sheetId="6" r:id="rId6"/>
    <sheet name="Týden 4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7" l="1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N6" i="7"/>
  <c r="L6" i="7"/>
  <c r="J6" i="7"/>
  <c r="H6" i="7"/>
  <c r="F6" i="7"/>
  <c r="D6" i="7"/>
  <c r="B6" i="7"/>
  <c r="B3" i="7"/>
  <c r="P22" i="6"/>
  <c r="P21" i="6"/>
  <c r="P20" i="6"/>
  <c r="P19" i="6"/>
  <c r="P18" i="6"/>
  <c r="P17" i="6"/>
  <c r="P16" i="6"/>
  <c r="P15" i="6"/>
  <c r="P14" i="6"/>
  <c r="P13" i="6"/>
  <c r="P12" i="6"/>
  <c r="P11" i="6"/>
  <c r="P23" i="6" s="1"/>
  <c r="P10" i="6"/>
  <c r="P9" i="6"/>
  <c r="P8" i="6"/>
  <c r="N6" i="6"/>
  <c r="L6" i="6"/>
  <c r="J6" i="6"/>
  <c r="H6" i="6"/>
  <c r="F6" i="6"/>
  <c r="D6" i="6"/>
  <c r="B6" i="6"/>
  <c r="B3" i="6"/>
  <c r="P22" i="5"/>
  <c r="P21" i="5"/>
  <c r="P20" i="5"/>
  <c r="P19" i="5"/>
  <c r="P18" i="5"/>
  <c r="P17" i="5"/>
  <c r="P16" i="5"/>
  <c r="P15" i="5"/>
  <c r="P14" i="5"/>
  <c r="P13" i="5"/>
  <c r="P12" i="5"/>
  <c r="P11" i="5"/>
  <c r="P23" i="5" s="1"/>
  <c r="P10" i="5"/>
  <c r="P9" i="5"/>
  <c r="P8" i="5"/>
  <c r="N6" i="5"/>
  <c r="L6" i="5"/>
  <c r="J6" i="5"/>
  <c r="H6" i="5"/>
  <c r="F6" i="5"/>
  <c r="D6" i="5"/>
  <c r="B6" i="5"/>
  <c r="B3" i="5"/>
  <c r="P22" i="4"/>
  <c r="P21" i="4"/>
  <c r="P20" i="4"/>
  <c r="P19" i="4"/>
  <c r="P18" i="4"/>
  <c r="P17" i="4"/>
  <c r="P16" i="4"/>
  <c r="P15" i="4"/>
  <c r="P14" i="4"/>
  <c r="P13" i="4"/>
  <c r="P12" i="4"/>
  <c r="P11" i="4"/>
  <c r="P23" i="4" s="1"/>
  <c r="P10" i="4"/>
  <c r="P9" i="4"/>
  <c r="P8" i="4"/>
  <c r="N6" i="4"/>
  <c r="L6" i="4"/>
  <c r="J6" i="4"/>
  <c r="H6" i="4"/>
  <c r="F6" i="4"/>
  <c r="D6" i="4"/>
  <c r="B6" i="4"/>
  <c r="B3" i="4"/>
  <c r="P22" i="3"/>
  <c r="P21" i="3"/>
  <c r="P20" i="3"/>
  <c r="P19" i="3"/>
  <c r="P18" i="3"/>
  <c r="P17" i="3"/>
  <c r="P16" i="3"/>
  <c r="P15" i="3"/>
  <c r="P14" i="3"/>
  <c r="P13" i="3"/>
  <c r="P12" i="3"/>
  <c r="P11" i="3"/>
  <c r="P23" i="3" s="1"/>
  <c r="P10" i="3"/>
  <c r="P9" i="3"/>
  <c r="P8" i="3"/>
  <c r="N6" i="3"/>
  <c r="L6" i="3"/>
  <c r="J6" i="3"/>
  <c r="H6" i="3"/>
  <c r="F6" i="3"/>
  <c r="D6" i="3"/>
  <c r="B6" i="3"/>
  <c r="B3" i="3"/>
  <c r="I13" i="2"/>
  <c r="I12" i="2"/>
  <c r="I11" i="2"/>
  <c r="I10" i="2"/>
  <c r="I9" i="2"/>
  <c r="I8" i="2"/>
  <c r="D6" i="2"/>
  <c r="B6" i="2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23" i="1" s="1"/>
  <c r="I23" i="2" l="1"/>
</calcChain>
</file>

<file path=xl/sharedStrings.xml><?xml version="1.0" encoding="utf-8"?>
<sst xmlns="http://schemas.openxmlformats.org/spreadsheetml/2006/main" count="228" uniqueCount="76">
  <si>
    <t>Týden: 43</t>
  </si>
  <si>
    <t>NÁZEV PROJEKTU : Eis</t>
  </si>
  <si>
    <t>Pondělí</t>
  </si>
  <si>
    <t>HODINY CELKEM</t>
  </si>
  <si>
    <t>Jméno pracovníka:</t>
  </si>
  <si>
    <t>7 - 19</t>
  </si>
  <si>
    <t>Bořetická Michaela</t>
  </si>
  <si>
    <t>Poznámky / Zálohy :</t>
  </si>
  <si>
    <t>Přestávka od - do</t>
  </si>
  <si>
    <t>Bořetická      100 euro</t>
  </si>
  <si>
    <t>HODINY PROSÍM VYPLŇOVAT V ČISTÉM ČASE, BEZ PŘESTÁVEK.</t>
  </si>
  <si>
    <t>PŘESTÁVKA JE VŽDY 1 HODINA.</t>
  </si>
  <si>
    <t>HODINY PROSÍM POSÍLAT TÝDNĚ NA EMAIL: hodiny@czechmontage.cz</t>
  </si>
  <si>
    <t>Přejezdy z projektu na projekt - pouze pracovní cesty z jednoho projektu na druhý!</t>
  </si>
  <si>
    <t>Jméno pracovníka</t>
  </si>
  <si>
    <t>od kud</t>
  </si>
  <si>
    <t xml:space="preserve">kam </t>
  </si>
  <si>
    <t xml:space="preserve">kdy </t>
  </si>
  <si>
    <t>délka cesty</t>
  </si>
  <si>
    <t>Eis</t>
  </si>
  <si>
    <t>Carrefour</t>
  </si>
  <si>
    <t>2 hodiny</t>
  </si>
  <si>
    <t>Zálohy 18.09.2024-xx.xx.2024</t>
  </si>
  <si>
    <t>NÁZEV PROJEKTU : Ardo</t>
  </si>
  <si>
    <t>€ CELKEM €</t>
  </si>
  <si>
    <t>Eura</t>
  </si>
  <si>
    <t>CZK</t>
  </si>
  <si>
    <t>Jakub Čáp</t>
  </si>
  <si>
    <t>Voneš Milan</t>
  </si>
  <si>
    <t>Fiala Štěpán</t>
  </si>
  <si>
    <t>Drdla Josef</t>
  </si>
  <si>
    <t>Schmoranzer Martin</t>
  </si>
  <si>
    <t>Chodur Radim</t>
  </si>
  <si>
    <t>Září</t>
  </si>
  <si>
    <t>Říjen</t>
  </si>
  <si>
    <t>Úterý</t>
  </si>
  <si>
    <t>Středa</t>
  </si>
  <si>
    <t>Čtvrtek</t>
  </si>
  <si>
    <t>Pátek</t>
  </si>
  <si>
    <t>Sobota</t>
  </si>
  <si>
    <t>Neděle</t>
  </si>
  <si>
    <t>Čáp Jakub</t>
  </si>
  <si>
    <t>Odkud</t>
  </si>
  <si>
    <t xml:space="preserve">Kam </t>
  </si>
  <si>
    <t xml:space="preserve">Kdy </t>
  </si>
  <si>
    <t>Délka cesty</t>
  </si>
  <si>
    <t>Km</t>
  </si>
  <si>
    <t>Týden</t>
  </si>
  <si>
    <t>NÁZEV PROJEKTU : Crapiterie, Spa</t>
  </si>
  <si>
    <t>07:00</t>
  </si>
  <si>
    <t>18:00</t>
  </si>
  <si>
    <t>09:00</t>
  </si>
  <si>
    <t>08:00</t>
  </si>
  <si>
    <t>x</t>
  </si>
  <si>
    <t>Týden 38</t>
  </si>
  <si>
    <t>NÁZEV PROJEKTU : Larfrost</t>
  </si>
  <si>
    <t>16:30</t>
  </si>
  <si>
    <t>06:00</t>
  </si>
  <si>
    <t>14:00</t>
  </si>
  <si>
    <t>Lutych</t>
  </si>
  <si>
    <t>Menen</t>
  </si>
  <si>
    <t>2,5h</t>
  </si>
  <si>
    <t>Týden 39</t>
  </si>
  <si>
    <t>14:30</t>
  </si>
  <si>
    <t>Forster Michael Joseph</t>
  </si>
  <si>
    <t>Týden 40</t>
  </si>
  <si>
    <t>30.09.2024</t>
  </si>
  <si>
    <t>01.10.2024</t>
  </si>
  <si>
    <t>02.10.2024</t>
  </si>
  <si>
    <t>03.10.2024</t>
  </si>
  <si>
    <t>04.10.2024</t>
  </si>
  <si>
    <t>05.10.2024</t>
  </si>
  <si>
    <t>Týden 41</t>
  </si>
  <si>
    <t>07.10.2024</t>
  </si>
  <si>
    <t>08.10.2024</t>
  </si>
  <si>
    <t>09.10.2024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</si>
</sst>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;@"/>
    <numFmt numFmtId="165" formatCode="#,##0\ [$€-1];[Red]\-#,##0\ [$€-1]"/>
    <numFmt numFmtId="166" formatCode="#,##0\ [$Kč-405]"/>
    <numFmt numFmtId="167" formatCode="#,##0\ [$€-1]"/>
    <numFmt numFmtId="168" formatCode="yyyy\-mm\-dd"/>
  </numFmts>
  <fonts count="1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5" tint="-0.249977111117893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u/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150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0" fontId="11" fillId="0" borderId="0"/>
  </cellStyleXfs>
  <cellXfs count="91">
    <xf numFmtId="0" fontId="0" fillId="0" borderId="0" xfId="0"/>
    <xf numFmtId="0" fontId="2" fillId="2" borderId="3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6" fillId="0" borderId="0" xfId="0" applyFont="1"/>
    <xf numFmtId="0" fontId="1" fillId="0" borderId="1" xfId="0" applyFont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2" borderId="2" xfId="0" applyNumberFormat="1" applyFont="1" applyFill="1" applyBorder="1" applyAlignment="1">
      <alignment horizontal="center"/>
    </xf>
    <xf numFmtId="0" fontId="7" fillId="0" borderId="1" xfId="0" applyFont="1" applyBorder="1"/>
    <xf numFmtId="14" fontId="7" fillId="0" borderId="1" xfId="0" applyNumberFormat="1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4" borderId="0" xfId="0" applyFill="1"/>
    <xf numFmtId="0" fontId="0" fillId="0" borderId="1" xfId="0" applyBorder="1"/>
    <xf numFmtId="0" fontId="11" fillId="0" borderId="1" xfId="1" applyBorder="1" applyAlignment="1">
      <alignment horizontal="center"/>
    </xf>
    <xf numFmtId="0" fontId="0" fillId="0" borderId="0" xfId="0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2" fillId="2" borderId="0" xfId="0" applyFont="1" applyFill="1"/>
    <xf numFmtId="20" fontId="0" fillId="0" borderId="0" xfId="0" applyNumberFormat="1" applyAlignment="1">
      <alignment horizontal="center"/>
    </xf>
    <xf numFmtId="0" fontId="10" fillId="2" borderId="0" xfId="0" applyFont="1" applyFill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4" borderId="1" xfId="0" applyNumberForma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164" fontId="0" fillId="0" borderId="0" xfId="0" applyNumberFormat="1"/>
    <xf numFmtId="0" fontId="0" fillId="4" borderId="2" xfId="0" applyFill="1" applyBorder="1" applyAlignment="1">
      <alignment horizontal="right" vertical="center"/>
    </xf>
    <xf numFmtId="0" fontId="0" fillId="0" borderId="2" xfId="0" applyBorder="1"/>
    <xf numFmtId="0" fontId="1" fillId="0" borderId="8" xfId="0" applyFont="1" applyBorder="1" applyAlignment="1">
      <alignment horizontal="center"/>
    </xf>
    <xf numFmtId="0" fontId="0" fillId="0" borderId="9" xfId="0" applyBorder="1"/>
    <xf numFmtId="20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49" fontId="0" fillId="0" borderId="0" xfId="0" applyNumberFormat="1"/>
    <xf numFmtId="0" fontId="0" fillId="0" borderId="10" xfId="0" applyBorder="1" applyAlignment="1">
      <alignment horizontal="right"/>
    </xf>
    <xf numFmtId="0" fontId="3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7" fontId="1" fillId="0" borderId="1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9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9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4" borderId="1" xfId="0" applyNumberForma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/>
    </xf>
    <xf numFmtId="168" fontId="0" fillId="0" borderId="0" xfId="0" applyNumberFormat="1"/>
    <xf numFmtId="0" fontId="2" fillId="2" borderId="1" xfId="0" applyFont="1" applyFill="1" applyBorder="1" applyAlignment="1">
      <alignment horizontal="left" wrapText="1"/>
    </xf>
    <xf numFmtId="0" fontId="0" fillId="0" borderId="6" xfId="0" applyBorder="1"/>
    <xf numFmtId="0" fontId="0" fillId="0" borderId="8" xfId="0" applyBorder="1"/>
    <xf numFmtId="0" fontId="4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8" fillId="0" borderId="0" xfId="0" applyFont="1" applyAlignment="1">
      <alignment horizontal="left"/>
    </xf>
    <xf numFmtId="0" fontId="0" fillId="0" borderId="0" xfId="0"/>
    <xf numFmtId="0" fontId="0" fillId="0" borderId="1" xfId="0" applyBorder="1" applyAlignment="1">
      <alignment horizontal="center"/>
    </xf>
    <xf numFmtId="0" fontId="8" fillId="3" borderId="0" xfId="0" applyFont="1" applyFill="1" applyAlignment="1">
      <alignment horizontal="left"/>
    </xf>
    <xf numFmtId="0" fontId="5" fillId="2" borderId="6" xfId="0" applyFont="1" applyFill="1" applyBorder="1" applyAlignment="1">
      <alignment horizontal="center"/>
    </xf>
    <xf numFmtId="0" fontId="0" fillId="0" borderId="7" xfId="0" applyBorder="1"/>
    <xf numFmtId="164" fontId="9" fillId="2" borderId="1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/>
    <xf numFmtId="0" fontId="10" fillId="2" borderId="1" xfId="0" applyFont="1" applyFill="1" applyBorder="1" applyAlignment="1">
      <alignment horizontal="left" wrapText="1"/>
    </xf>
    <xf numFmtId="0" fontId="0" fillId="0" borderId="9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9" xfId="0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</cellXfs>
  <cellStyles count="2">
    <cellStyle name="Hyperlink" xfId="1" xr:uid="{00000000-0005-0000-0000-000001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35"/>
  <sheetViews>
    <sheetView workbookViewId="0">
      <selection activeCell="A9" sqref="A9"/>
    </sheetView>
  </sheetViews>
  <sheetFormatPr defaultColWidth="9.140625" defaultRowHeight="15" x14ac:dyDescent="0.25"/>
  <cols>
    <col min="1" max="1" width="28.5703125" customWidth="1"/>
    <col min="2" max="2" width="9.85546875" customWidth="1"/>
    <col min="3" max="3" width="9.5703125" customWidth="1"/>
    <col min="4" max="4" width="10.140625" customWidth="1"/>
    <col min="5" max="5" width="10.28515625" customWidth="1"/>
    <col min="6" max="8" width="9.140625" customWidth="1"/>
    <col min="9" max="9" width="13.140625" customWidth="1"/>
    <col min="10" max="95" width="9.140625" customWidth="1"/>
  </cols>
  <sheetData>
    <row r="1" spans="1:9" x14ac:dyDescent="0.25">
      <c r="A1" s="74"/>
    </row>
    <row r="2" spans="1:9" x14ac:dyDescent="0.25">
      <c r="A2" s="70"/>
    </row>
    <row r="3" spans="1:9" x14ac:dyDescent="0.25">
      <c r="A3" s="70"/>
      <c r="B3" s="71" t="s">
        <v>0</v>
      </c>
      <c r="C3" s="65"/>
    </row>
    <row r="4" spans="1:9" x14ac:dyDescent="0.25">
      <c r="A4" s="70"/>
      <c r="B4" s="71" t="s">
        <v>1</v>
      </c>
      <c r="C4" s="64"/>
      <c r="D4" s="64"/>
      <c r="E4" s="64"/>
      <c r="F4" s="64"/>
      <c r="G4" s="64"/>
      <c r="H4" s="64"/>
      <c r="I4" s="65"/>
    </row>
    <row r="5" spans="1:9" x14ac:dyDescent="0.25">
      <c r="A5" s="74"/>
      <c r="B5" s="35" t="s">
        <v>2</v>
      </c>
      <c r="C5" s="35"/>
      <c r="D5" s="54"/>
      <c r="E5" s="54"/>
      <c r="F5" s="54"/>
      <c r="G5" s="54"/>
      <c r="H5" s="54"/>
      <c r="I5" s="66" t="s">
        <v>3</v>
      </c>
    </row>
    <row r="6" spans="1:9" x14ac:dyDescent="0.25">
      <c r="A6" s="73" t="s">
        <v>4</v>
      </c>
      <c r="B6" s="10">
        <v>44123</v>
      </c>
      <c r="C6" s="6"/>
      <c r="D6" s="6"/>
      <c r="E6" s="6"/>
      <c r="F6" s="6"/>
      <c r="G6" s="6"/>
      <c r="H6" s="6"/>
      <c r="I6" s="67"/>
    </row>
    <row r="7" spans="1:9" x14ac:dyDescent="0.25">
      <c r="A7" s="74"/>
      <c r="B7" s="8" t="s">
        <v>5</v>
      </c>
      <c r="C7" s="7"/>
      <c r="D7" s="7"/>
      <c r="E7" s="7"/>
      <c r="F7" s="7"/>
      <c r="G7" s="7"/>
      <c r="H7" s="7"/>
      <c r="I7" s="68"/>
    </row>
    <row r="8" spans="1:9" x14ac:dyDescent="0.25">
      <c r="A8" s="11" t="s">
        <v>6</v>
      </c>
      <c r="B8" s="9">
        <v>11</v>
      </c>
      <c r="C8" s="52"/>
      <c r="D8" s="52"/>
      <c r="E8" s="52"/>
      <c r="F8" s="52"/>
      <c r="G8" s="52"/>
      <c r="H8" s="52"/>
      <c r="I8" s="5">
        <f t="shared" ref="I8:I22" si="0">SUM(B8:H8)</f>
        <v>11</v>
      </c>
    </row>
    <row r="9" spans="1:9" x14ac:dyDescent="0.25">
      <c r="A9" s="17"/>
      <c r="B9" s="52"/>
      <c r="C9" s="52"/>
      <c r="D9" s="52"/>
      <c r="E9" s="52"/>
      <c r="F9" s="52"/>
      <c r="G9" s="52"/>
      <c r="H9" s="52"/>
      <c r="I9" s="5">
        <f t="shared" si="0"/>
        <v>0</v>
      </c>
    </row>
    <row r="10" spans="1:9" x14ac:dyDescent="0.25">
      <c r="A10" s="17"/>
      <c r="B10" s="52"/>
      <c r="C10" s="52"/>
      <c r="D10" s="52"/>
      <c r="E10" s="52"/>
      <c r="F10" s="52"/>
      <c r="G10" s="52"/>
      <c r="H10" s="52"/>
      <c r="I10" s="5">
        <f t="shared" si="0"/>
        <v>0</v>
      </c>
    </row>
    <row r="11" spans="1:9" x14ac:dyDescent="0.25">
      <c r="A11" s="17"/>
      <c r="B11" s="52"/>
      <c r="C11" s="52"/>
      <c r="D11" s="52"/>
      <c r="E11" s="52"/>
      <c r="F11" s="52"/>
      <c r="G11" s="52"/>
      <c r="H11" s="52"/>
      <c r="I11" s="5">
        <f t="shared" si="0"/>
        <v>0</v>
      </c>
    </row>
    <row r="12" spans="1:9" x14ac:dyDescent="0.25">
      <c r="A12" s="17"/>
      <c r="B12" s="52"/>
      <c r="C12" s="52"/>
      <c r="D12" s="52"/>
      <c r="E12" s="52"/>
      <c r="F12" s="52"/>
      <c r="G12" s="52"/>
      <c r="H12" s="52"/>
      <c r="I12" s="5">
        <f t="shared" si="0"/>
        <v>0</v>
      </c>
    </row>
    <row r="13" spans="1:9" x14ac:dyDescent="0.25">
      <c r="A13" s="17"/>
      <c r="B13" s="52"/>
      <c r="C13" s="52"/>
      <c r="D13" s="52"/>
      <c r="E13" s="52"/>
      <c r="F13" s="52"/>
      <c r="G13" s="52"/>
      <c r="H13" s="52"/>
      <c r="I13" s="5">
        <f t="shared" si="0"/>
        <v>0</v>
      </c>
    </row>
    <row r="14" spans="1:9" x14ac:dyDescent="0.25">
      <c r="A14" s="17"/>
      <c r="B14" s="52"/>
      <c r="C14" s="52"/>
      <c r="D14" s="52"/>
      <c r="E14" s="52"/>
      <c r="F14" s="52"/>
      <c r="G14" s="52"/>
      <c r="H14" s="52"/>
      <c r="I14" s="5">
        <f t="shared" si="0"/>
        <v>0</v>
      </c>
    </row>
    <row r="15" spans="1:9" x14ac:dyDescent="0.25">
      <c r="A15" s="17"/>
      <c r="B15" s="52"/>
      <c r="C15" s="52"/>
      <c r="D15" s="52"/>
      <c r="E15" s="52"/>
      <c r="F15" s="52"/>
      <c r="G15" s="52"/>
      <c r="H15" s="52"/>
      <c r="I15" s="5">
        <f t="shared" si="0"/>
        <v>0</v>
      </c>
    </row>
    <row r="16" spans="1:9" x14ac:dyDescent="0.25">
      <c r="A16" s="17"/>
      <c r="B16" s="52"/>
      <c r="C16" s="52"/>
      <c r="D16" s="52"/>
      <c r="E16" s="52"/>
      <c r="F16" s="52"/>
      <c r="G16" s="52"/>
      <c r="H16" s="52"/>
      <c r="I16" s="5">
        <f t="shared" si="0"/>
        <v>0</v>
      </c>
    </row>
    <row r="17" spans="1:12" x14ac:dyDescent="0.25">
      <c r="A17" s="17"/>
      <c r="B17" s="52"/>
      <c r="C17" s="52"/>
      <c r="D17" s="52"/>
      <c r="E17" s="52"/>
      <c r="F17" s="52"/>
      <c r="G17" s="52"/>
      <c r="H17" s="52"/>
      <c r="I17" s="5">
        <f t="shared" si="0"/>
        <v>0</v>
      </c>
    </row>
    <row r="18" spans="1:12" x14ac:dyDescent="0.25">
      <c r="A18" s="17"/>
      <c r="B18" s="52"/>
      <c r="C18" s="52"/>
      <c r="D18" s="52"/>
      <c r="E18" s="52"/>
      <c r="F18" s="52"/>
      <c r="G18" s="52"/>
      <c r="H18" s="52"/>
      <c r="I18" s="5">
        <f t="shared" si="0"/>
        <v>0</v>
      </c>
    </row>
    <row r="19" spans="1:12" x14ac:dyDescent="0.25">
      <c r="A19" s="17"/>
      <c r="B19" s="52"/>
      <c r="C19" s="52"/>
      <c r="D19" s="52"/>
      <c r="E19" s="52"/>
      <c r="F19" s="52"/>
      <c r="G19" s="52"/>
      <c r="H19" s="52"/>
      <c r="I19" s="5">
        <f t="shared" si="0"/>
        <v>0</v>
      </c>
    </row>
    <row r="20" spans="1:12" x14ac:dyDescent="0.25">
      <c r="A20" s="17"/>
      <c r="B20" s="52"/>
      <c r="C20" s="52"/>
      <c r="D20" s="52"/>
      <c r="E20" s="52"/>
      <c r="F20" s="52"/>
      <c r="G20" s="52"/>
      <c r="H20" s="52"/>
      <c r="I20" s="5">
        <f t="shared" si="0"/>
        <v>0</v>
      </c>
    </row>
    <row r="21" spans="1:12" x14ac:dyDescent="0.25">
      <c r="A21" s="17"/>
      <c r="B21" s="52"/>
      <c r="C21" s="52"/>
      <c r="D21" s="52"/>
      <c r="E21" s="52"/>
      <c r="F21" s="52"/>
      <c r="G21" s="52"/>
      <c r="H21" s="52"/>
      <c r="I21" s="5">
        <f t="shared" si="0"/>
        <v>0</v>
      </c>
    </row>
    <row r="22" spans="1:12" x14ac:dyDescent="0.25">
      <c r="A22" s="17"/>
      <c r="B22" s="52"/>
      <c r="C22" s="52"/>
      <c r="D22" s="52"/>
      <c r="E22" s="52"/>
      <c r="F22" s="52"/>
      <c r="G22" s="52"/>
      <c r="H22" s="52"/>
      <c r="I22" s="5">
        <f t="shared" si="0"/>
        <v>0</v>
      </c>
    </row>
    <row r="23" spans="1:12" x14ac:dyDescent="0.25">
      <c r="I23" s="5">
        <f>SUM(I8:I22)</f>
        <v>11</v>
      </c>
    </row>
    <row r="24" spans="1:12" x14ac:dyDescent="0.25">
      <c r="A24" s="1" t="s">
        <v>7</v>
      </c>
      <c r="C24" s="1" t="s">
        <v>8</v>
      </c>
      <c r="D24" s="1"/>
    </row>
    <row r="25" spans="1:12" x14ac:dyDescent="0.25">
      <c r="A25" s="11" t="s">
        <v>9</v>
      </c>
      <c r="C25" s="9">
        <v>12</v>
      </c>
      <c r="D25" s="9">
        <v>13</v>
      </c>
      <c r="F25" s="69" t="s">
        <v>10</v>
      </c>
      <c r="G25" s="70"/>
      <c r="H25" s="70"/>
      <c r="I25" s="70"/>
      <c r="J25" s="70"/>
      <c r="K25" s="70"/>
      <c r="L25" s="4"/>
    </row>
    <row r="26" spans="1:12" x14ac:dyDescent="0.25">
      <c r="A26" s="17"/>
      <c r="C26" s="52"/>
      <c r="D26" s="52"/>
      <c r="F26" s="4"/>
      <c r="G26" s="4"/>
      <c r="H26" s="4"/>
      <c r="I26" s="4"/>
      <c r="J26" s="4"/>
      <c r="K26" s="4"/>
      <c r="L26" s="4"/>
    </row>
    <row r="27" spans="1:12" x14ac:dyDescent="0.25">
      <c r="A27" s="17"/>
      <c r="C27" s="52"/>
      <c r="D27" s="52"/>
      <c r="F27" s="72" t="s">
        <v>11</v>
      </c>
      <c r="G27" s="70"/>
      <c r="H27" s="70"/>
      <c r="I27" s="70"/>
      <c r="J27" s="70"/>
      <c r="K27" s="70"/>
    </row>
    <row r="28" spans="1:12" x14ac:dyDescent="0.25">
      <c r="A28" s="17"/>
      <c r="C28" s="52"/>
      <c r="D28" s="52"/>
    </row>
    <row r="29" spans="1:12" x14ac:dyDescent="0.25">
      <c r="F29" s="69" t="s">
        <v>12</v>
      </c>
      <c r="G29" s="70"/>
      <c r="H29" s="70"/>
      <c r="I29" s="70"/>
      <c r="J29" s="70"/>
      <c r="K29" s="70"/>
      <c r="L29" s="70"/>
    </row>
    <row r="30" spans="1:12" ht="31.5" customHeight="1" x14ac:dyDescent="0.25">
      <c r="A30" s="63" t="s">
        <v>13</v>
      </c>
      <c r="B30" s="64"/>
      <c r="C30" s="64"/>
      <c r="D30" s="64"/>
      <c r="E30" s="65"/>
    </row>
    <row r="31" spans="1:12" x14ac:dyDescent="0.25">
      <c r="A31" s="2" t="s">
        <v>14</v>
      </c>
      <c r="B31" s="3" t="s">
        <v>15</v>
      </c>
      <c r="C31" s="3" t="s">
        <v>16</v>
      </c>
      <c r="D31" s="3" t="s">
        <v>17</v>
      </c>
      <c r="E31" s="3" t="s">
        <v>18</v>
      </c>
    </row>
    <row r="32" spans="1:12" x14ac:dyDescent="0.25">
      <c r="A32" s="11" t="s">
        <v>6</v>
      </c>
      <c r="B32" s="9" t="s">
        <v>19</v>
      </c>
      <c r="C32" s="9" t="s">
        <v>20</v>
      </c>
      <c r="D32" s="12">
        <v>44124</v>
      </c>
      <c r="E32" s="9" t="s">
        <v>21</v>
      </c>
    </row>
    <row r="33" spans="1:5" x14ac:dyDescent="0.25">
      <c r="A33" s="17"/>
      <c r="B33" s="52"/>
      <c r="C33" s="52"/>
      <c r="D33" s="52"/>
      <c r="E33" s="52"/>
    </row>
    <row r="34" spans="1:5" x14ac:dyDescent="0.25">
      <c r="A34" s="17"/>
      <c r="B34" s="52"/>
      <c r="C34" s="52"/>
      <c r="D34" s="52"/>
      <c r="E34" s="52"/>
    </row>
    <row r="35" spans="1:5" x14ac:dyDescent="0.25">
      <c r="B35" s="24"/>
      <c r="C35" s="24"/>
      <c r="D35" s="24"/>
    </row>
  </sheetData>
  <mergeCells count="9">
    <mergeCell ref="A30:E30"/>
    <mergeCell ref="I5:I7"/>
    <mergeCell ref="F25:K25"/>
    <mergeCell ref="B3:C3"/>
    <mergeCell ref="F29:L29"/>
    <mergeCell ref="F27:K27"/>
    <mergeCell ref="A6:A7"/>
    <mergeCell ref="A1:A5"/>
    <mergeCell ref="B4:I4"/>
  </mergeCells>
  <pageMargins left="0.7" right="0.7" top="0.78740157499999996" bottom="0.78740157499999996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"/>
  <sheetViews>
    <sheetView workbookViewId="0">
      <selection activeCell="D13" sqref="D13"/>
    </sheetView>
  </sheetViews>
  <sheetFormatPr defaultColWidth="8.5703125" defaultRowHeight="15" x14ac:dyDescent="0.25"/>
  <cols>
    <col min="1" max="1" width="28.5703125" customWidth="1"/>
    <col min="2" max="2" width="13.140625" customWidth="1"/>
    <col min="3" max="7" width="10.42578125" customWidth="1"/>
    <col min="8" max="8" width="8.5703125" customWidth="1"/>
    <col min="9" max="9" width="13.140625" customWidth="1"/>
    <col min="10" max="24" width="8.5703125" customWidth="1"/>
    <col min="25" max="25" width="5" customWidth="1"/>
    <col min="26" max="26" width="9.28515625" customWidth="1"/>
    <col min="27" max="95" width="8.5703125" customWidth="1"/>
  </cols>
  <sheetData>
    <row r="1" spans="1:26" x14ac:dyDescent="0.25">
      <c r="A1" s="74"/>
    </row>
    <row r="2" spans="1:26" x14ac:dyDescent="0.25">
      <c r="A2" s="70"/>
    </row>
    <row r="3" spans="1:26" x14ac:dyDescent="0.25">
      <c r="A3" s="70"/>
      <c r="B3" s="71" t="s">
        <v>22</v>
      </c>
      <c r="C3" s="65"/>
    </row>
    <row r="4" spans="1:26" x14ac:dyDescent="0.25">
      <c r="A4" s="70"/>
      <c r="B4" s="71" t="s">
        <v>23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5"/>
    </row>
    <row r="5" spans="1:26" x14ac:dyDescent="0.25">
      <c r="A5" s="74"/>
      <c r="B5" s="35"/>
      <c r="C5" s="27"/>
      <c r="D5" s="54"/>
      <c r="E5" s="54"/>
      <c r="F5" s="54"/>
      <c r="G5" s="54"/>
      <c r="H5" s="54"/>
      <c r="I5" s="66" t="s">
        <v>24</v>
      </c>
    </row>
    <row r="6" spans="1:26" ht="15.75" customHeight="1" x14ac:dyDescent="0.25">
      <c r="A6" s="73" t="s">
        <v>4</v>
      </c>
      <c r="B6" s="75" t="str">
        <f>B80</f>
        <v>Září</v>
      </c>
      <c r="C6" s="65"/>
      <c r="D6" s="75" t="str">
        <f>D80</f>
        <v>Říjen</v>
      </c>
      <c r="E6" s="65"/>
      <c r="F6" s="28"/>
      <c r="G6" s="28"/>
      <c r="H6" s="28"/>
      <c r="I6" s="67"/>
    </row>
    <row r="7" spans="1:26" x14ac:dyDescent="0.25">
      <c r="A7" s="74"/>
      <c r="B7" s="14" t="s">
        <v>25</v>
      </c>
      <c r="C7" s="14" t="s">
        <v>26</v>
      </c>
      <c r="D7" s="14" t="s">
        <v>25</v>
      </c>
      <c r="E7" s="14" t="s">
        <v>26</v>
      </c>
      <c r="F7" s="14"/>
      <c r="G7" s="14"/>
      <c r="H7" s="14"/>
      <c r="I7" s="68"/>
    </row>
    <row r="8" spans="1:26" x14ac:dyDescent="0.25">
      <c r="A8" s="15" t="s">
        <v>27</v>
      </c>
      <c r="B8" s="30">
        <v>100</v>
      </c>
      <c r="C8" s="31"/>
      <c r="D8" s="32"/>
      <c r="E8" s="33"/>
      <c r="F8" s="52"/>
      <c r="G8" s="52"/>
      <c r="H8" s="52"/>
      <c r="I8" s="47">
        <f t="shared" ref="I8:I13" si="0">SUM(B8+D8)</f>
        <v>100</v>
      </c>
    </row>
    <row r="9" spans="1:26" x14ac:dyDescent="0.25">
      <c r="A9" s="15" t="s">
        <v>28</v>
      </c>
      <c r="B9" s="30">
        <v>140</v>
      </c>
      <c r="C9" s="59"/>
      <c r="D9" s="32"/>
      <c r="E9" s="33"/>
      <c r="F9" s="52"/>
      <c r="G9" s="52"/>
      <c r="H9" s="52"/>
      <c r="I9" s="47">
        <f t="shared" si="0"/>
        <v>140</v>
      </c>
      <c r="Z9" s="62">
        <v>45556</v>
      </c>
    </row>
    <row r="10" spans="1:26" x14ac:dyDescent="0.25">
      <c r="A10" s="15" t="s">
        <v>29</v>
      </c>
      <c r="B10" s="30">
        <v>110</v>
      </c>
      <c r="C10" s="31"/>
      <c r="D10" s="32"/>
      <c r="E10" s="60"/>
      <c r="F10" s="52"/>
      <c r="G10" s="52"/>
      <c r="H10" s="52"/>
      <c r="I10" s="47">
        <f t="shared" si="0"/>
        <v>110</v>
      </c>
      <c r="Z10" s="62">
        <v>45556</v>
      </c>
    </row>
    <row r="11" spans="1:26" x14ac:dyDescent="0.25">
      <c r="A11" s="19" t="s">
        <v>30</v>
      </c>
      <c r="B11" s="50"/>
      <c r="C11" s="61"/>
      <c r="D11" s="32">
        <v>300</v>
      </c>
      <c r="E11" s="34"/>
      <c r="F11" s="52"/>
      <c r="G11" s="52"/>
      <c r="H11" s="52"/>
      <c r="I11" s="47">
        <f t="shared" si="0"/>
        <v>300</v>
      </c>
      <c r="Z11" s="62">
        <v>45574</v>
      </c>
    </row>
    <row r="12" spans="1:26" x14ac:dyDescent="0.25">
      <c r="A12" s="15" t="s">
        <v>31</v>
      </c>
      <c r="B12" s="50">
        <v>100</v>
      </c>
      <c r="C12" s="52"/>
      <c r="D12" s="32">
        <v>200</v>
      </c>
      <c r="E12" s="60"/>
      <c r="F12" s="52"/>
      <c r="G12" s="52"/>
      <c r="H12" s="52"/>
      <c r="I12" s="47">
        <f t="shared" si="0"/>
        <v>300</v>
      </c>
      <c r="Z12" s="62">
        <v>45569</v>
      </c>
    </row>
    <row r="13" spans="1:26" x14ac:dyDescent="0.25">
      <c r="A13" s="15" t="s">
        <v>32</v>
      </c>
      <c r="B13" s="50"/>
      <c r="C13" s="52"/>
      <c r="D13" s="32">
        <v>200</v>
      </c>
      <c r="E13" s="34"/>
      <c r="F13" s="52"/>
      <c r="G13" s="52"/>
      <c r="H13" s="52"/>
      <c r="I13" s="47">
        <f t="shared" si="0"/>
        <v>200</v>
      </c>
      <c r="Z13" s="62">
        <v>45574</v>
      </c>
    </row>
    <row r="14" spans="1:26" x14ac:dyDescent="0.25">
      <c r="A14" s="15"/>
      <c r="B14" s="50"/>
      <c r="C14" s="52"/>
      <c r="D14" s="32"/>
      <c r="E14" s="33"/>
      <c r="F14" s="52"/>
      <c r="G14" s="52"/>
      <c r="H14" s="52"/>
      <c r="I14" s="47"/>
    </row>
    <row r="15" spans="1:26" x14ac:dyDescent="0.25">
      <c r="A15" s="15"/>
      <c r="B15" s="50"/>
      <c r="C15" s="52"/>
      <c r="D15" s="32"/>
      <c r="E15" s="33"/>
      <c r="F15" s="52"/>
      <c r="G15" s="52"/>
      <c r="H15" s="52"/>
      <c r="I15" s="47"/>
    </row>
    <row r="16" spans="1:26" x14ac:dyDescent="0.25">
      <c r="A16" s="15"/>
      <c r="B16" s="50"/>
      <c r="C16" s="52"/>
      <c r="D16" s="32"/>
      <c r="E16" s="33"/>
      <c r="F16" s="52"/>
      <c r="G16" s="52"/>
      <c r="H16" s="52"/>
      <c r="I16" s="47"/>
    </row>
    <row r="17" spans="1:12" x14ac:dyDescent="0.25">
      <c r="A17" s="15"/>
      <c r="B17" s="50"/>
      <c r="C17" s="52"/>
      <c r="D17" s="32"/>
      <c r="E17" s="33"/>
      <c r="F17" s="52"/>
      <c r="G17" s="52"/>
      <c r="H17" s="52"/>
      <c r="I17" s="47"/>
    </row>
    <row r="18" spans="1:12" x14ac:dyDescent="0.25">
      <c r="A18" s="15"/>
      <c r="B18" s="50"/>
      <c r="C18" s="52"/>
      <c r="D18" s="32"/>
      <c r="E18" s="33"/>
      <c r="F18" s="52"/>
      <c r="G18" s="52"/>
      <c r="H18" s="52"/>
      <c r="I18" s="47"/>
    </row>
    <row r="19" spans="1:12" x14ac:dyDescent="0.25">
      <c r="A19" s="15"/>
      <c r="B19" s="50"/>
      <c r="C19" s="52"/>
      <c r="D19" s="32"/>
      <c r="E19" s="33"/>
      <c r="F19" s="52"/>
      <c r="G19" s="52"/>
      <c r="H19" s="52"/>
      <c r="I19" s="47"/>
    </row>
    <row r="20" spans="1:12" x14ac:dyDescent="0.25">
      <c r="A20" s="15"/>
      <c r="B20" s="50"/>
      <c r="C20" s="52"/>
      <c r="D20" s="32"/>
      <c r="E20" s="33"/>
      <c r="F20" s="52"/>
      <c r="G20" s="52"/>
      <c r="H20" s="52"/>
      <c r="I20" s="47"/>
    </row>
    <row r="21" spans="1:12" x14ac:dyDescent="0.25">
      <c r="A21" s="15"/>
      <c r="B21" s="50"/>
      <c r="C21" s="52"/>
      <c r="D21" s="32"/>
      <c r="E21" s="33"/>
      <c r="F21" s="52"/>
      <c r="G21" s="52"/>
      <c r="H21" s="52"/>
      <c r="I21" s="47"/>
    </row>
    <row r="22" spans="1:12" x14ac:dyDescent="0.25">
      <c r="A22" s="15"/>
      <c r="B22" s="50"/>
      <c r="C22" s="52"/>
      <c r="D22" s="32"/>
      <c r="E22" s="33"/>
      <c r="F22" s="52"/>
      <c r="G22" s="52"/>
      <c r="H22" s="52"/>
      <c r="I22" s="47"/>
    </row>
    <row r="23" spans="1:12" x14ac:dyDescent="0.25">
      <c r="B23" s="51"/>
      <c r="E23" s="16"/>
      <c r="I23" s="47">
        <f>SUM(I8:I22)</f>
        <v>1150</v>
      </c>
    </row>
    <row r="24" spans="1:12" x14ac:dyDescent="0.25">
      <c r="A24" s="1"/>
      <c r="C24" s="1"/>
      <c r="D24" s="1"/>
    </row>
    <row r="25" spans="1:12" x14ac:dyDescent="0.25">
      <c r="A25" s="11"/>
      <c r="C25" s="13"/>
      <c r="D25" s="13"/>
      <c r="F25" s="69"/>
      <c r="G25" s="70"/>
      <c r="H25" s="70"/>
      <c r="I25" s="70"/>
      <c r="J25" s="70"/>
      <c r="K25" s="70"/>
    </row>
    <row r="26" spans="1:12" x14ac:dyDescent="0.25">
      <c r="A26" s="17"/>
      <c r="C26" s="52"/>
      <c r="D26" s="52"/>
      <c r="F26" s="4"/>
      <c r="G26" s="4"/>
      <c r="H26" s="4"/>
      <c r="I26" s="4"/>
      <c r="J26" s="4"/>
      <c r="K26" s="4"/>
    </row>
    <row r="27" spans="1:12" x14ac:dyDescent="0.25">
      <c r="A27" s="17"/>
      <c r="C27" s="52"/>
      <c r="D27" s="52"/>
    </row>
    <row r="28" spans="1:12" x14ac:dyDescent="0.25">
      <c r="A28" s="17"/>
      <c r="C28" s="52"/>
      <c r="D28" s="52"/>
    </row>
    <row r="29" spans="1:12" x14ac:dyDescent="0.25">
      <c r="F29" s="69"/>
      <c r="G29" s="70"/>
      <c r="H29" s="70"/>
      <c r="I29" s="70"/>
      <c r="J29" s="70"/>
      <c r="K29" s="70"/>
      <c r="L29" s="70"/>
    </row>
    <row r="30" spans="1:12" x14ac:dyDescent="0.25">
      <c r="A30" s="63"/>
      <c r="B30" s="64"/>
      <c r="C30" s="64"/>
      <c r="D30" s="64"/>
      <c r="E30" s="65"/>
    </row>
    <row r="31" spans="1:12" x14ac:dyDescent="0.25">
      <c r="A31" s="2"/>
      <c r="B31" s="3"/>
      <c r="C31" s="3"/>
      <c r="D31" s="3"/>
      <c r="E31" s="3"/>
    </row>
    <row r="32" spans="1:12" x14ac:dyDescent="0.25">
      <c r="A32" s="11"/>
      <c r="B32" s="9"/>
      <c r="C32" s="9"/>
      <c r="D32" s="12"/>
      <c r="E32" s="9"/>
    </row>
    <row r="33" spans="1:5" x14ac:dyDescent="0.25">
      <c r="A33" s="17"/>
      <c r="B33" s="52"/>
      <c r="C33" s="52"/>
      <c r="D33" s="52"/>
      <c r="E33" s="52"/>
    </row>
    <row r="34" spans="1:5" x14ac:dyDescent="0.25">
      <c r="A34" s="17"/>
      <c r="B34" s="52"/>
      <c r="C34" s="52"/>
      <c r="D34" s="52"/>
      <c r="E34" s="52"/>
    </row>
    <row r="35" spans="1:5" x14ac:dyDescent="0.25">
      <c r="B35" s="24"/>
      <c r="C35" s="24"/>
      <c r="D35" s="24"/>
    </row>
    <row r="80" spans="2:4" x14ac:dyDescent="0.25">
      <c r="B80" t="s">
        <v>33</v>
      </c>
      <c r="D80" t="s">
        <v>34</v>
      </c>
    </row>
  </sheetData>
  <mergeCells count="10">
    <mergeCell ref="B3:C3"/>
    <mergeCell ref="F29:L29"/>
    <mergeCell ref="B4:P4"/>
    <mergeCell ref="A1:A5"/>
    <mergeCell ref="A6:A7"/>
    <mergeCell ref="A30:E30"/>
    <mergeCell ref="I5:I7"/>
    <mergeCell ref="B6:C6"/>
    <mergeCell ref="F25:K25"/>
    <mergeCell ref="D6:E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0"/>
  <sheetViews>
    <sheetView topLeftCell="A11" workbookViewId="0">
      <selection activeCell="P16" sqref="P16"/>
    </sheetView>
  </sheetViews>
  <sheetFormatPr defaultColWidth="8.5703125" defaultRowHeight="15" x14ac:dyDescent="0.25"/>
  <cols>
    <col min="1" max="1" width="28.5703125" customWidth="1"/>
    <col min="2" max="14" width="5.7109375" customWidth="1"/>
    <col min="15" max="15" width="5.7109375" style="56" customWidth="1"/>
    <col min="16" max="16" width="13.140625" customWidth="1"/>
    <col min="17" max="102" width="8.5703125" customWidth="1"/>
  </cols>
  <sheetData>
    <row r="1" spans="1:16" x14ac:dyDescent="0.25">
      <c r="A1" s="74"/>
    </row>
    <row r="2" spans="1:16" x14ac:dyDescent="0.25">
      <c r="A2" s="70"/>
    </row>
    <row r="3" spans="1:16" x14ac:dyDescent="0.25">
      <c r="A3" s="70"/>
      <c r="B3" s="88" t="str">
        <f>A80</f>
        <v>Týden</v>
      </c>
      <c r="C3" s="64"/>
      <c r="D3" s="65"/>
      <c r="E3" s="24"/>
    </row>
    <row r="4" spans="1:16" x14ac:dyDescent="0.25">
      <c r="A4" s="70"/>
      <c r="B4" s="71" t="s">
        <v>23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5"/>
    </row>
    <row r="5" spans="1:16" x14ac:dyDescent="0.25">
      <c r="A5" s="74"/>
      <c r="B5" s="90" t="s">
        <v>2</v>
      </c>
      <c r="C5" s="65"/>
      <c r="D5" s="80" t="s">
        <v>35</v>
      </c>
      <c r="E5" s="65"/>
      <c r="F5" s="80" t="s">
        <v>36</v>
      </c>
      <c r="G5" s="65"/>
      <c r="H5" s="80" t="s">
        <v>37</v>
      </c>
      <c r="I5" s="65"/>
      <c r="J5" s="80" t="s">
        <v>38</v>
      </c>
      <c r="K5" s="65"/>
      <c r="L5" s="80" t="s">
        <v>39</v>
      </c>
      <c r="M5" s="65"/>
      <c r="N5" s="85" t="s">
        <v>40</v>
      </c>
      <c r="O5" s="65"/>
      <c r="P5" s="66" t="s">
        <v>3</v>
      </c>
    </row>
    <row r="6" spans="1:16" ht="15.75" customHeight="1" x14ac:dyDescent="0.25">
      <c r="A6" s="73" t="s">
        <v>4</v>
      </c>
      <c r="B6" s="82">
        <f>B80</f>
        <v>0</v>
      </c>
      <c r="C6" s="83"/>
      <c r="D6" s="82">
        <f>D80</f>
        <v>0</v>
      </c>
      <c r="E6" s="83"/>
      <c r="F6" s="82">
        <f>F80</f>
        <v>0</v>
      </c>
      <c r="G6" s="83"/>
      <c r="H6" s="82">
        <f>H80</f>
        <v>0</v>
      </c>
      <c r="I6" s="83"/>
      <c r="J6" s="82">
        <f>J80</f>
        <v>0</v>
      </c>
      <c r="K6" s="83"/>
      <c r="L6" s="82">
        <f>L80</f>
        <v>0</v>
      </c>
      <c r="M6" s="83"/>
      <c r="N6" s="89">
        <f>N80</f>
        <v>0</v>
      </c>
      <c r="O6" s="83"/>
      <c r="P6" s="67"/>
    </row>
    <row r="7" spans="1:16" x14ac:dyDescent="0.25">
      <c r="A7" s="74"/>
      <c r="B7" s="41"/>
      <c r="C7" s="41"/>
      <c r="D7" s="48"/>
      <c r="E7" s="48"/>
      <c r="F7" s="48"/>
      <c r="G7" s="48"/>
      <c r="H7" s="48"/>
      <c r="I7" s="48"/>
      <c r="J7" s="48"/>
      <c r="K7" s="48"/>
      <c r="L7" s="41"/>
      <c r="M7" s="41"/>
      <c r="N7" s="48"/>
      <c r="O7" s="42"/>
      <c r="P7" s="68"/>
    </row>
    <row r="8" spans="1:16" x14ac:dyDescent="0.25">
      <c r="A8" s="37" t="s">
        <v>41</v>
      </c>
      <c r="B8" s="79"/>
      <c r="C8" s="77"/>
      <c r="D8" s="79"/>
      <c r="E8" s="77"/>
      <c r="F8" s="86"/>
      <c r="G8" s="77"/>
      <c r="H8" s="86"/>
      <c r="I8" s="77"/>
      <c r="J8" s="86"/>
      <c r="K8" s="77"/>
      <c r="L8" s="86"/>
      <c r="M8" s="77"/>
      <c r="N8" s="87"/>
      <c r="O8" s="77"/>
      <c r="P8" s="39">
        <f>SUM(B8:N8)</f>
        <v>0</v>
      </c>
    </row>
    <row r="9" spans="1:16" x14ac:dyDescent="0.25">
      <c r="A9" s="37"/>
      <c r="B9" s="79"/>
      <c r="C9" s="77"/>
      <c r="D9" s="79"/>
      <c r="E9" s="77"/>
      <c r="F9" s="79"/>
      <c r="G9" s="77"/>
      <c r="H9" s="79"/>
      <c r="I9" s="77"/>
      <c r="J9" s="79"/>
      <c r="K9" s="77"/>
      <c r="L9" s="79"/>
      <c r="M9" s="77"/>
      <c r="N9" s="87"/>
      <c r="O9" s="77"/>
      <c r="P9" s="39">
        <f>SUM(B9:N9)</f>
        <v>0</v>
      </c>
    </row>
    <row r="10" spans="1:16" x14ac:dyDescent="0.25">
      <c r="A10" s="44"/>
      <c r="B10" s="79"/>
      <c r="C10" s="77"/>
      <c r="D10" s="79"/>
      <c r="E10" s="77"/>
      <c r="F10" s="79"/>
      <c r="G10" s="77"/>
      <c r="H10" s="81"/>
      <c r="I10" s="77"/>
      <c r="J10" s="79"/>
      <c r="K10" s="77"/>
      <c r="L10" s="79"/>
      <c r="M10" s="77"/>
      <c r="N10" s="79"/>
      <c r="O10" s="77"/>
      <c r="P10" s="39">
        <f t="shared" ref="P10:P22" si="0">SUM(B10:O10)</f>
        <v>0</v>
      </c>
    </row>
    <row r="11" spans="1:16" x14ac:dyDescent="0.25">
      <c r="A11" s="20"/>
      <c r="B11" s="79"/>
      <c r="C11" s="77"/>
      <c r="D11" s="79"/>
      <c r="E11" s="77"/>
      <c r="F11" s="76"/>
      <c r="G11" s="77"/>
      <c r="H11" s="81"/>
      <c r="I11" s="77"/>
      <c r="J11" s="79"/>
      <c r="K11" s="77"/>
      <c r="L11" s="79"/>
      <c r="M11" s="77"/>
      <c r="N11" s="79"/>
      <c r="O11" s="77"/>
      <c r="P11" s="39">
        <f t="shared" si="0"/>
        <v>0</v>
      </c>
    </row>
    <row r="12" spans="1:16" x14ac:dyDescent="0.25">
      <c r="A12" s="37"/>
      <c r="B12" s="79"/>
      <c r="C12" s="77"/>
      <c r="D12" s="79"/>
      <c r="E12" s="77"/>
      <c r="F12" s="76"/>
      <c r="G12" s="77"/>
      <c r="H12" s="81"/>
      <c r="I12" s="77"/>
      <c r="J12" s="79"/>
      <c r="K12" s="77"/>
      <c r="L12" s="79"/>
      <c r="M12" s="77"/>
      <c r="N12" s="79"/>
      <c r="O12" s="77"/>
      <c r="P12" s="39">
        <f t="shared" si="0"/>
        <v>0</v>
      </c>
    </row>
    <row r="13" spans="1:16" x14ac:dyDescent="0.25">
      <c r="A13" s="37"/>
      <c r="B13" s="53"/>
      <c r="C13" s="53"/>
      <c r="D13" s="53"/>
      <c r="E13" s="53"/>
      <c r="F13" s="49"/>
      <c r="G13" s="49"/>
      <c r="H13" s="55"/>
      <c r="I13" s="55"/>
      <c r="J13" s="53"/>
      <c r="K13" s="53"/>
      <c r="L13" s="53"/>
      <c r="M13" s="53"/>
      <c r="N13" s="53"/>
      <c r="O13" s="57"/>
      <c r="P13" s="39">
        <f t="shared" si="0"/>
        <v>0</v>
      </c>
    </row>
    <row r="14" spans="1:16" x14ac:dyDescent="0.25">
      <c r="A14" s="37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7"/>
      <c r="P14" s="39">
        <f t="shared" si="0"/>
        <v>0</v>
      </c>
    </row>
    <row r="15" spans="1:16" x14ac:dyDescent="0.25">
      <c r="A15" s="37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7"/>
      <c r="P15" s="39">
        <f t="shared" si="0"/>
        <v>0</v>
      </c>
    </row>
    <row r="16" spans="1:16" x14ac:dyDescent="0.25">
      <c r="A16" s="37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7"/>
      <c r="P16" s="39">
        <f t="shared" si="0"/>
        <v>0</v>
      </c>
    </row>
    <row r="17" spans="1:19" x14ac:dyDescent="0.25">
      <c r="A17" s="38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7"/>
      <c r="P17" s="39">
        <f t="shared" si="0"/>
        <v>0</v>
      </c>
    </row>
    <row r="18" spans="1:19" x14ac:dyDescent="0.25">
      <c r="A18" s="38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7"/>
      <c r="P18" s="39">
        <f t="shared" si="0"/>
        <v>0</v>
      </c>
    </row>
    <row r="19" spans="1:19" x14ac:dyDescent="0.25">
      <c r="A19" s="38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7"/>
      <c r="P19" s="39">
        <f t="shared" si="0"/>
        <v>0</v>
      </c>
    </row>
    <row r="20" spans="1:19" x14ac:dyDescent="0.25">
      <c r="A20" s="38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7"/>
      <c r="P20" s="39">
        <f t="shared" si="0"/>
        <v>0</v>
      </c>
    </row>
    <row r="21" spans="1:19" x14ac:dyDescent="0.25">
      <c r="A21" s="38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7"/>
      <c r="P21" s="39">
        <f t="shared" si="0"/>
        <v>0</v>
      </c>
    </row>
    <row r="22" spans="1:19" x14ac:dyDescent="0.25">
      <c r="A22" s="38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7"/>
      <c r="P22" s="39">
        <f t="shared" si="0"/>
        <v>0</v>
      </c>
    </row>
    <row r="23" spans="1:19" x14ac:dyDescent="0.25">
      <c r="H23" s="16"/>
      <c r="I23" s="16"/>
      <c r="P23" s="5">
        <f>SUM(P8:P22)</f>
        <v>0</v>
      </c>
    </row>
    <row r="24" spans="1:19" x14ac:dyDescent="0.25">
      <c r="A24" s="1" t="s">
        <v>7</v>
      </c>
      <c r="D24" s="1" t="s">
        <v>8</v>
      </c>
      <c r="E24" s="1"/>
      <c r="F24" s="1"/>
      <c r="G24" s="21"/>
    </row>
    <row r="25" spans="1:19" x14ac:dyDescent="0.25">
      <c r="A25" s="11"/>
      <c r="D25" s="13">
        <v>0.5</v>
      </c>
      <c r="E25" s="13"/>
      <c r="F25" s="13">
        <v>0.52083333333333337</v>
      </c>
      <c r="G25" s="22"/>
      <c r="J25" s="69" t="s">
        <v>10</v>
      </c>
      <c r="K25" s="70"/>
      <c r="L25" s="70"/>
      <c r="M25" s="70"/>
      <c r="N25" s="70"/>
      <c r="O25" s="84"/>
      <c r="P25" s="70"/>
      <c r="Q25" s="70"/>
      <c r="R25" s="70"/>
    </row>
    <row r="26" spans="1:19" x14ac:dyDescent="0.25">
      <c r="A26" s="17"/>
      <c r="D26" s="52"/>
      <c r="E26" s="52"/>
      <c r="F26" s="52"/>
      <c r="G26" s="24"/>
      <c r="J26" s="4"/>
      <c r="K26" s="4"/>
      <c r="L26" s="4"/>
      <c r="M26" s="4"/>
      <c r="N26" s="4"/>
      <c r="O26" s="26"/>
      <c r="P26" s="4"/>
      <c r="Q26" s="4"/>
      <c r="R26" s="4"/>
    </row>
    <row r="27" spans="1:19" x14ac:dyDescent="0.25">
      <c r="A27" s="17"/>
      <c r="D27" s="52"/>
      <c r="E27" s="52"/>
      <c r="F27" s="52"/>
      <c r="G27" s="24"/>
    </row>
    <row r="28" spans="1:19" x14ac:dyDescent="0.25">
      <c r="A28" s="17"/>
      <c r="D28" s="52"/>
      <c r="E28" s="52"/>
      <c r="F28" s="52"/>
      <c r="G28" s="24"/>
    </row>
    <row r="29" spans="1:19" x14ac:dyDescent="0.25">
      <c r="J29" s="69" t="s">
        <v>12</v>
      </c>
      <c r="K29" s="70"/>
      <c r="L29" s="70"/>
      <c r="M29" s="70"/>
      <c r="N29" s="70"/>
      <c r="O29" s="84"/>
      <c r="P29" s="70"/>
      <c r="Q29" s="70"/>
      <c r="R29" s="70"/>
      <c r="S29" s="70"/>
    </row>
    <row r="30" spans="1:19" x14ac:dyDescent="0.25">
      <c r="A30" s="78" t="s">
        <v>13</v>
      </c>
      <c r="B30" s="64"/>
      <c r="C30" s="64"/>
      <c r="D30" s="64"/>
      <c r="E30" s="64"/>
      <c r="F30" s="64"/>
      <c r="G30" s="64"/>
      <c r="H30" s="65"/>
      <c r="I30" s="23"/>
    </row>
    <row r="31" spans="1:19" x14ac:dyDescent="0.25">
      <c r="A31" s="17" t="s">
        <v>14</v>
      </c>
      <c r="B31" s="52" t="s">
        <v>42</v>
      </c>
      <c r="C31" s="52"/>
      <c r="D31" s="52" t="s">
        <v>43</v>
      </c>
      <c r="E31" s="52"/>
      <c r="F31" s="52" t="s">
        <v>44</v>
      </c>
      <c r="G31" s="52"/>
      <c r="H31" s="52" t="s">
        <v>45</v>
      </c>
      <c r="I31" s="24"/>
      <c r="J31" s="25" t="s">
        <v>46</v>
      </c>
      <c r="K31" s="25"/>
    </row>
    <row r="32" spans="1:19" x14ac:dyDescent="0.25">
      <c r="A32" s="17"/>
      <c r="B32" s="45"/>
      <c r="C32" s="45"/>
      <c r="D32" s="45"/>
      <c r="E32" s="45"/>
      <c r="F32" s="46"/>
      <c r="G32" s="46"/>
      <c r="H32" s="52"/>
      <c r="I32" s="24"/>
      <c r="J32" s="25"/>
      <c r="K32" s="25"/>
    </row>
    <row r="33" spans="1:9" x14ac:dyDescent="0.25">
      <c r="A33" s="17"/>
      <c r="B33" s="45"/>
      <c r="C33" s="45"/>
      <c r="D33" s="45"/>
      <c r="E33" s="45"/>
      <c r="F33" s="46"/>
      <c r="G33" s="46"/>
      <c r="H33" s="52"/>
      <c r="I33" s="24"/>
    </row>
    <row r="34" spans="1:9" x14ac:dyDescent="0.25">
      <c r="A34" s="17"/>
      <c r="B34" s="18"/>
      <c r="C34" s="18"/>
      <c r="D34" s="18"/>
      <c r="E34" s="18"/>
      <c r="F34" s="29"/>
      <c r="G34" s="29"/>
      <c r="H34" s="52"/>
      <c r="I34" s="24"/>
    </row>
    <row r="35" spans="1:9" x14ac:dyDescent="0.25">
      <c r="B35" s="24"/>
      <c r="C35" s="24"/>
      <c r="D35" s="24"/>
      <c r="E35" s="24"/>
      <c r="F35" s="24"/>
      <c r="G35" s="24"/>
    </row>
    <row r="80" spans="1:14" x14ac:dyDescent="0.25">
      <c r="A80" s="43" t="s">
        <v>47</v>
      </c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</row>
  </sheetData>
  <mergeCells count="57">
    <mergeCell ref="B4:P4"/>
    <mergeCell ref="B9:C9"/>
    <mergeCell ref="A1:A5"/>
    <mergeCell ref="D9:E9"/>
    <mergeCell ref="F9:G9"/>
    <mergeCell ref="L9:M9"/>
    <mergeCell ref="D8:E8"/>
    <mergeCell ref="N9:O9"/>
    <mergeCell ref="B6:C6"/>
    <mergeCell ref="B3:D3"/>
    <mergeCell ref="L6:M6"/>
    <mergeCell ref="N6:O6"/>
    <mergeCell ref="B5:C5"/>
    <mergeCell ref="D5:E5"/>
    <mergeCell ref="H5:I5"/>
    <mergeCell ref="H8:I8"/>
    <mergeCell ref="F5:G5"/>
    <mergeCell ref="L5:M5"/>
    <mergeCell ref="P5:P7"/>
    <mergeCell ref="N5:O5"/>
    <mergeCell ref="J29:S29"/>
    <mergeCell ref="L8:M8"/>
    <mergeCell ref="N8:O8"/>
    <mergeCell ref="F8:G8"/>
    <mergeCell ref="H11:I11"/>
    <mergeCell ref="J11:K11"/>
    <mergeCell ref="L10:M10"/>
    <mergeCell ref="N10:O10"/>
    <mergeCell ref="H12:I12"/>
    <mergeCell ref="J12:K12"/>
    <mergeCell ref="L11:M11"/>
    <mergeCell ref="J8:K8"/>
    <mergeCell ref="H6:I6"/>
    <mergeCell ref="N12:O12"/>
    <mergeCell ref="B11:C11"/>
    <mergeCell ref="J25:R25"/>
    <mergeCell ref="D11:E11"/>
    <mergeCell ref="J6:K6"/>
    <mergeCell ref="B8:C8"/>
    <mergeCell ref="B10:C10"/>
    <mergeCell ref="D12:E12"/>
    <mergeCell ref="F11:G11"/>
    <mergeCell ref="A30:H30"/>
    <mergeCell ref="D10:E10"/>
    <mergeCell ref="N11:O11"/>
    <mergeCell ref="J5:K5"/>
    <mergeCell ref="F10:G10"/>
    <mergeCell ref="H10:I10"/>
    <mergeCell ref="J10:K10"/>
    <mergeCell ref="F6:G6"/>
    <mergeCell ref="A6:A7"/>
    <mergeCell ref="H9:I9"/>
    <mergeCell ref="B12:C12"/>
    <mergeCell ref="J9:K9"/>
    <mergeCell ref="D6:E6"/>
    <mergeCell ref="F12:G12"/>
    <mergeCell ref="L12:M1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0"/>
  <sheetViews>
    <sheetView topLeftCell="A2" workbookViewId="0">
      <selection activeCell="N8" sqref="N8:O8"/>
    </sheetView>
  </sheetViews>
  <sheetFormatPr defaultColWidth="8.5703125" defaultRowHeight="15" x14ac:dyDescent="0.25"/>
  <cols>
    <col min="1" max="1" width="28.5703125" customWidth="1"/>
    <col min="2" max="14" width="5.7109375" customWidth="1"/>
    <col min="15" max="15" width="5.7109375" style="56" customWidth="1"/>
    <col min="16" max="16" width="13.140625" customWidth="1"/>
    <col min="17" max="102" width="8.5703125" customWidth="1"/>
  </cols>
  <sheetData>
    <row r="1" spans="1:16" x14ac:dyDescent="0.25">
      <c r="A1" s="74"/>
    </row>
    <row r="2" spans="1:16" x14ac:dyDescent="0.25">
      <c r="A2" s="70"/>
    </row>
    <row r="3" spans="1:16" x14ac:dyDescent="0.25">
      <c r="A3" s="70"/>
      <c r="B3" s="88" t="str">
        <f>A80</f>
        <v>Týden 38</v>
      </c>
      <c r="C3" s="64"/>
      <c r="D3" s="65"/>
      <c r="E3" s="24"/>
    </row>
    <row r="4" spans="1:16" x14ac:dyDescent="0.25">
      <c r="A4" s="70"/>
      <c r="B4" s="71" t="s">
        <v>48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5"/>
    </row>
    <row r="5" spans="1:16" x14ac:dyDescent="0.25">
      <c r="A5" s="74"/>
      <c r="B5" s="90" t="s">
        <v>2</v>
      </c>
      <c r="C5" s="65"/>
      <c r="D5" s="80" t="s">
        <v>35</v>
      </c>
      <c r="E5" s="65"/>
      <c r="F5" s="80" t="s">
        <v>36</v>
      </c>
      <c r="G5" s="65"/>
      <c r="H5" s="80" t="s">
        <v>37</v>
      </c>
      <c r="I5" s="65"/>
      <c r="J5" s="80" t="s">
        <v>38</v>
      </c>
      <c r="K5" s="65"/>
      <c r="L5" s="80" t="s">
        <v>39</v>
      </c>
      <c r="M5" s="65"/>
      <c r="N5" s="85" t="s">
        <v>40</v>
      </c>
      <c r="O5" s="65"/>
      <c r="P5" s="66" t="s">
        <v>3</v>
      </c>
    </row>
    <row r="6" spans="1:16" ht="15.75" customHeight="1" x14ac:dyDescent="0.25">
      <c r="A6" s="73" t="s">
        <v>4</v>
      </c>
      <c r="B6" s="82">
        <f>B80</f>
        <v>0</v>
      </c>
      <c r="C6" s="83"/>
      <c r="D6" s="82">
        <f>D80</f>
        <v>0</v>
      </c>
      <c r="E6" s="83"/>
      <c r="F6" s="82">
        <f>F80</f>
        <v>0</v>
      </c>
      <c r="G6" s="83"/>
      <c r="H6" s="82">
        <f>H80</f>
        <v>45554</v>
      </c>
      <c r="I6" s="83"/>
      <c r="J6" s="82">
        <f>J80</f>
        <v>45555</v>
      </c>
      <c r="K6" s="83"/>
      <c r="L6" s="82">
        <f>L80</f>
        <v>45556</v>
      </c>
      <c r="M6" s="83"/>
      <c r="N6" s="89">
        <f>N80</f>
        <v>45557</v>
      </c>
      <c r="O6" s="83"/>
      <c r="P6" s="67"/>
    </row>
    <row r="7" spans="1:16" x14ac:dyDescent="0.25">
      <c r="A7" s="74"/>
      <c r="B7" s="41"/>
      <c r="C7" s="41"/>
      <c r="D7" s="48"/>
      <c r="E7" s="48"/>
      <c r="F7" s="48"/>
      <c r="G7" s="48"/>
      <c r="H7" s="48" t="s">
        <v>49</v>
      </c>
      <c r="I7" s="48" t="s">
        <v>50</v>
      </c>
      <c r="J7" s="48" t="s">
        <v>51</v>
      </c>
      <c r="K7" s="48" t="s">
        <v>50</v>
      </c>
      <c r="L7" s="41" t="s">
        <v>52</v>
      </c>
      <c r="M7" s="41" t="s">
        <v>50</v>
      </c>
      <c r="N7" s="48" t="s">
        <v>53</v>
      </c>
      <c r="O7" s="42" t="s">
        <v>53</v>
      </c>
      <c r="P7" s="68"/>
    </row>
    <row r="8" spans="1:16" x14ac:dyDescent="0.25">
      <c r="A8" s="37" t="s">
        <v>41</v>
      </c>
      <c r="B8" s="79"/>
      <c r="C8" s="77"/>
      <c r="D8" s="79"/>
      <c r="E8" s="77"/>
      <c r="F8" s="86"/>
      <c r="G8" s="77"/>
      <c r="H8" s="86">
        <v>10.5</v>
      </c>
      <c r="I8" s="77"/>
      <c r="J8" s="86">
        <v>8.5</v>
      </c>
      <c r="K8" s="77"/>
      <c r="L8" s="86">
        <v>9.5</v>
      </c>
      <c r="M8" s="77"/>
      <c r="N8" s="87" t="s">
        <v>53</v>
      </c>
      <c r="O8" s="77"/>
      <c r="P8" s="39">
        <f>SUM(B8:N8)</f>
        <v>28.5</v>
      </c>
    </row>
    <row r="9" spans="1:16" x14ac:dyDescent="0.25">
      <c r="A9" s="37" t="s">
        <v>28</v>
      </c>
      <c r="B9" s="79"/>
      <c r="C9" s="77"/>
      <c r="D9" s="79"/>
      <c r="E9" s="77"/>
      <c r="F9" s="79"/>
      <c r="G9" s="77"/>
      <c r="H9" s="79">
        <v>10.5</v>
      </c>
      <c r="I9" s="77"/>
      <c r="J9" s="79">
        <v>8.5</v>
      </c>
      <c r="K9" s="77"/>
      <c r="L9" s="79">
        <v>9.5</v>
      </c>
      <c r="M9" s="77"/>
      <c r="N9" s="87" t="s">
        <v>53</v>
      </c>
      <c r="O9" s="77"/>
      <c r="P9" s="39">
        <f>SUM(B9:N9)</f>
        <v>28.5</v>
      </c>
    </row>
    <row r="10" spans="1:16" x14ac:dyDescent="0.25">
      <c r="A10" s="44"/>
      <c r="B10" s="79"/>
      <c r="C10" s="77"/>
      <c r="D10" s="79"/>
      <c r="E10" s="77"/>
      <c r="F10" s="79"/>
      <c r="G10" s="77"/>
      <c r="H10" s="81"/>
      <c r="I10" s="77"/>
      <c r="J10" s="79"/>
      <c r="K10" s="77"/>
      <c r="L10" s="79"/>
      <c r="M10" s="77"/>
      <c r="N10" s="79"/>
      <c r="O10" s="77"/>
      <c r="P10" s="39">
        <f>SUM(B10:O10)</f>
        <v>0</v>
      </c>
    </row>
    <row r="11" spans="1:16" x14ac:dyDescent="0.25">
      <c r="A11" s="20"/>
      <c r="B11" s="40"/>
      <c r="C11" s="40"/>
      <c r="D11" s="40"/>
      <c r="E11" s="40"/>
      <c r="F11" s="48"/>
      <c r="G11" s="48"/>
      <c r="H11" s="55"/>
      <c r="I11" s="55"/>
      <c r="J11" s="53"/>
      <c r="K11" s="53"/>
      <c r="L11" s="53"/>
      <c r="M11" s="53"/>
      <c r="N11" s="53"/>
      <c r="O11" s="57"/>
      <c r="P11" s="39">
        <f>SUM(B11:O11)</f>
        <v>0</v>
      </c>
    </row>
    <row r="12" spans="1:16" x14ac:dyDescent="0.25">
      <c r="A12" s="37"/>
      <c r="B12" s="53"/>
      <c r="C12" s="53"/>
      <c r="D12" s="53"/>
      <c r="E12" s="53"/>
      <c r="F12" s="48"/>
      <c r="G12" s="48"/>
      <c r="H12" s="55"/>
      <c r="I12" s="55"/>
      <c r="J12" s="53"/>
      <c r="K12" s="53"/>
      <c r="L12" s="53"/>
      <c r="M12" s="53"/>
      <c r="N12" s="53"/>
      <c r="O12" s="57"/>
      <c r="P12" s="39">
        <f>SUM(B12:O12)</f>
        <v>0</v>
      </c>
    </row>
    <row r="13" spans="1:16" x14ac:dyDescent="0.25">
      <c r="A13" s="37"/>
      <c r="B13" s="53"/>
      <c r="C13" s="53"/>
      <c r="D13" s="53"/>
      <c r="E13" s="53"/>
      <c r="F13" s="49"/>
      <c r="G13" s="49"/>
      <c r="H13" s="55"/>
      <c r="I13" s="55"/>
      <c r="J13" s="53"/>
      <c r="K13" s="53"/>
      <c r="L13" s="53"/>
      <c r="M13" s="53"/>
      <c r="N13" s="53"/>
      <c r="O13" s="57"/>
      <c r="P13" s="39">
        <f>SUM(B13:O13)</f>
        <v>0</v>
      </c>
    </row>
    <row r="14" spans="1:16" x14ac:dyDescent="0.25">
      <c r="A14" s="37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7"/>
      <c r="P14" s="39">
        <f>SUM(B14:O14)</f>
        <v>0</v>
      </c>
    </row>
    <row r="15" spans="1:16" x14ac:dyDescent="0.25">
      <c r="A15" s="37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7"/>
      <c r="P15" s="39">
        <f>SUM(H15:O15)</f>
        <v>0</v>
      </c>
    </row>
    <row r="16" spans="1:16" x14ac:dyDescent="0.25">
      <c r="A16" s="37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7"/>
      <c r="P16" s="39">
        <f t="shared" ref="P16:P22" si="0">SUM(B16:O16)</f>
        <v>0</v>
      </c>
    </row>
    <row r="17" spans="1:19" x14ac:dyDescent="0.25">
      <c r="A17" s="38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7"/>
      <c r="P17" s="39">
        <f t="shared" si="0"/>
        <v>0</v>
      </c>
    </row>
    <row r="18" spans="1:19" x14ac:dyDescent="0.25">
      <c r="A18" s="38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7"/>
      <c r="P18" s="39">
        <f t="shared" si="0"/>
        <v>0</v>
      </c>
    </row>
    <row r="19" spans="1:19" x14ac:dyDescent="0.25">
      <c r="A19" s="38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7"/>
      <c r="P19" s="39">
        <f t="shared" si="0"/>
        <v>0</v>
      </c>
    </row>
    <row r="20" spans="1:19" x14ac:dyDescent="0.25">
      <c r="A20" s="38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7"/>
      <c r="P20" s="39">
        <f t="shared" si="0"/>
        <v>0</v>
      </c>
    </row>
    <row r="21" spans="1:19" x14ac:dyDescent="0.25">
      <c r="A21" s="38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7"/>
      <c r="P21" s="39">
        <f t="shared" si="0"/>
        <v>0</v>
      </c>
    </row>
    <row r="22" spans="1:19" x14ac:dyDescent="0.25">
      <c r="A22" s="38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7"/>
      <c r="P22" s="39">
        <f t="shared" si="0"/>
        <v>0</v>
      </c>
    </row>
    <row r="23" spans="1:19" x14ac:dyDescent="0.25">
      <c r="H23" s="16"/>
      <c r="I23" s="16"/>
      <c r="P23" s="5">
        <f>SUM(P8:P22)</f>
        <v>57</v>
      </c>
    </row>
    <row r="24" spans="1:19" x14ac:dyDescent="0.25">
      <c r="A24" s="1" t="s">
        <v>7</v>
      </c>
      <c r="D24" s="1" t="s">
        <v>8</v>
      </c>
      <c r="E24" s="1"/>
      <c r="F24" s="1"/>
      <c r="G24" s="21"/>
    </row>
    <row r="25" spans="1:19" x14ac:dyDescent="0.25">
      <c r="A25" s="11"/>
      <c r="D25" s="13">
        <v>0.5</v>
      </c>
      <c r="E25" s="13"/>
      <c r="F25" s="13">
        <v>0.52083333333333337</v>
      </c>
      <c r="G25" s="22"/>
      <c r="J25" s="69" t="s">
        <v>10</v>
      </c>
      <c r="K25" s="70"/>
      <c r="L25" s="70"/>
      <c r="M25" s="70"/>
      <c r="N25" s="70"/>
      <c r="O25" s="84"/>
      <c r="P25" s="70"/>
      <c r="Q25" s="70"/>
      <c r="R25" s="70"/>
    </row>
    <row r="26" spans="1:19" x14ac:dyDescent="0.25">
      <c r="A26" s="17"/>
      <c r="D26" s="52"/>
      <c r="E26" s="52"/>
      <c r="F26" s="52"/>
      <c r="G26" s="24"/>
      <c r="J26" s="4"/>
      <c r="K26" s="4"/>
      <c r="L26" s="4"/>
      <c r="M26" s="4"/>
      <c r="N26" s="4"/>
      <c r="O26" s="26"/>
      <c r="P26" s="4"/>
      <c r="Q26" s="4"/>
      <c r="R26" s="4"/>
    </row>
    <row r="27" spans="1:19" x14ac:dyDescent="0.25">
      <c r="A27" s="17"/>
      <c r="D27" s="52"/>
      <c r="E27" s="52"/>
      <c r="F27" s="52"/>
      <c r="G27" s="24"/>
    </row>
    <row r="28" spans="1:19" x14ac:dyDescent="0.25">
      <c r="A28" s="17"/>
      <c r="D28" s="52"/>
      <c r="E28" s="52"/>
      <c r="F28" s="52"/>
      <c r="G28" s="24"/>
    </row>
    <row r="29" spans="1:19" x14ac:dyDescent="0.25">
      <c r="J29" s="69" t="s">
        <v>12</v>
      </c>
      <c r="K29" s="70"/>
      <c r="L29" s="70"/>
      <c r="M29" s="70"/>
      <c r="N29" s="70"/>
      <c r="O29" s="84"/>
      <c r="P29" s="70"/>
      <c r="Q29" s="70"/>
      <c r="R29" s="70"/>
      <c r="S29" s="70"/>
    </row>
    <row r="30" spans="1:19" x14ac:dyDescent="0.25">
      <c r="A30" s="78" t="s">
        <v>13</v>
      </c>
      <c r="B30" s="64"/>
      <c r="C30" s="64"/>
      <c r="D30" s="64"/>
      <c r="E30" s="64"/>
      <c r="F30" s="64"/>
      <c r="G30" s="64"/>
      <c r="H30" s="65"/>
      <c r="I30" s="23"/>
    </row>
    <row r="31" spans="1:19" x14ac:dyDescent="0.25">
      <c r="A31" s="17" t="s">
        <v>14</v>
      </c>
      <c r="B31" s="52" t="s">
        <v>42</v>
      </c>
      <c r="C31" s="52"/>
      <c r="D31" s="52" t="s">
        <v>43</v>
      </c>
      <c r="E31" s="52"/>
      <c r="F31" s="52" t="s">
        <v>44</v>
      </c>
      <c r="G31" s="52"/>
      <c r="H31" s="52" t="s">
        <v>45</v>
      </c>
      <c r="I31" s="24"/>
      <c r="J31" s="25" t="s">
        <v>46</v>
      </c>
      <c r="K31" s="25"/>
    </row>
    <row r="32" spans="1:19" x14ac:dyDescent="0.25">
      <c r="A32" s="17"/>
      <c r="B32" s="45"/>
      <c r="C32" s="45"/>
      <c r="D32" s="45"/>
      <c r="E32" s="45"/>
      <c r="F32" s="46"/>
      <c r="G32" s="46"/>
      <c r="H32" s="52"/>
      <c r="I32" s="24"/>
      <c r="J32" s="25"/>
      <c r="K32" s="25"/>
    </row>
    <row r="33" spans="1:9" x14ac:dyDescent="0.25">
      <c r="A33" s="17"/>
      <c r="B33" s="45"/>
      <c r="C33" s="45"/>
      <c r="D33" s="45"/>
      <c r="E33" s="45"/>
      <c r="F33" s="46"/>
      <c r="G33" s="46"/>
      <c r="H33" s="52"/>
      <c r="I33" s="24"/>
    </row>
    <row r="34" spans="1:9" x14ac:dyDescent="0.25">
      <c r="A34" s="17"/>
      <c r="B34" s="18"/>
      <c r="C34" s="18"/>
      <c r="D34" s="18"/>
      <c r="E34" s="18"/>
      <c r="F34" s="29"/>
      <c r="G34" s="29"/>
      <c r="H34" s="52"/>
      <c r="I34" s="24"/>
    </row>
    <row r="35" spans="1:9" x14ac:dyDescent="0.25">
      <c r="B35" s="24"/>
      <c r="C35" s="24"/>
      <c r="D35" s="24"/>
      <c r="E35" s="24"/>
      <c r="F35" s="24"/>
      <c r="G35" s="24"/>
    </row>
    <row r="80" spans="1:14" x14ac:dyDescent="0.25">
      <c r="A80" s="43" t="s">
        <v>54</v>
      </c>
      <c r="B80" s="36"/>
      <c r="C80" s="36"/>
      <c r="D80" s="36"/>
      <c r="E80" s="36"/>
      <c r="F80" s="36"/>
      <c r="G80" s="36"/>
      <c r="H80" s="36">
        <v>45554</v>
      </c>
      <c r="I80" s="36"/>
      <c r="J80" s="36">
        <v>45555</v>
      </c>
      <c r="K80" s="36"/>
      <c r="L80" s="36">
        <v>45556</v>
      </c>
      <c r="M80" s="36"/>
      <c r="N80" s="36">
        <v>45557</v>
      </c>
    </row>
  </sheetData>
  <mergeCells count="43">
    <mergeCell ref="B4:P4"/>
    <mergeCell ref="B9:C9"/>
    <mergeCell ref="A1:A5"/>
    <mergeCell ref="D9:E9"/>
    <mergeCell ref="F9:G9"/>
    <mergeCell ref="L9:M9"/>
    <mergeCell ref="D8:E8"/>
    <mergeCell ref="N9:O9"/>
    <mergeCell ref="B6:C6"/>
    <mergeCell ref="B3:D3"/>
    <mergeCell ref="L6:M6"/>
    <mergeCell ref="N6:O6"/>
    <mergeCell ref="B5:C5"/>
    <mergeCell ref="D5:E5"/>
    <mergeCell ref="H5:I5"/>
    <mergeCell ref="H8:I8"/>
    <mergeCell ref="L5:M5"/>
    <mergeCell ref="N5:O5"/>
    <mergeCell ref="J29:S29"/>
    <mergeCell ref="B8:C8"/>
    <mergeCell ref="L8:M8"/>
    <mergeCell ref="N8:O8"/>
    <mergeCell ref="F8:G8"/>
    <mergeCell ref="L10:M10"/>
    <mergeCell ref="B10:C10"/>
    <mergeCell ref="N10:O10"/>
    <mergeCell ref="J8:K8"/>
    <mergeCell ref="A30:H30"/>
    <mergeCell ref="D10:E10"/>
    <mergeCell ref="J5:K5"/>
    <mergeCell ref="F10:G10"/>
    <mergeCell ref="H10:I10"/>
    <mergeCell ref="J10:K10"/>
    <mergeCell ref="F6:G6"/>
    <mergeCell ref="A6:A7"/>
    <mergeCell ref="H9:I9"/>
    <mergeCell ref="J9:K9"/>
    <mergeCell ref="D6:E6"/>
    <mergeCell ref="H6:I6"/>
    <mergeCell ref="J25:R25"/>
    <mergeCell ref="J6:K6"/>
    <mergeCell ref="F5:G5"/>
    <mergeCell ref="P5:P7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0"/>
  <sheetViews>
    <sheetView topLeftCell="A2" workbookViewId="0">
      <selection activeCell="J33" sqref="J33"/>
    </sheetView>
  </sheetViews>
  <sheetFormatPr defaultColWidth="8.5703125" defaultRowHeight="15" x14ac:dyDescent="0.25"/>
  <cols>
    <col min="1" max="1" width="28.5703125" customWidth="1"/>
    <col min="2" max="14" width="5.7109375" customWidth="1"/>
    <col min="15" max="15" width="5.7109375" style="56" customWidth="1"/>
    <col min="16" max="16" width="13.140625" customWidth="1"/>
    <col min="17" max="102" width="8.5703125" customWidth="1"/>
  </cols>
  <sheetData>
    <row r="1" spans="1:16" x14ac:dyDescent="0.25">
      <c r="A1" s="74"/>
    </row>
    <row r="2" spans="1:16" x14ac:dyDescent="0.25">
      <c r="A2" s="70"/>
    </row>
    <row r="3" spans="1:16" x14ac:dyDescent="0.25">
      <c r="A3" s="70"/>
      <c r="B3" s="88" t="str">
        <f>A80</f>
        <v>Týden 39</v>
      </c>
      <c r="C3" s="64"/>
      <c r="D3" s="65"/>
      <c r="E3" s="24"/>
    </row>
    <row r="4" spans="1:16" x14ac:dyDescent="0.25">
      <c r="A4" s="70"/>
      <c r="B4" s="71" t="s">
        <v>55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5"/>
    </row>
    <row r="5" spans="1:16" x14ac:dyDescent="0.25">
      <c r="A5" s="74"/>
      <c r="B5" s="90" t="s">
        <v>2</v>
      </c>
      <c r="C5" s="65"/>
      <c r="D5" s="80" t="s">
        <v>35</v>
      </c>
      <c r="E5" s="65"/>
      <c r="F5" s="80" t="s">
        <v>36</v>
      </c>
      <c r="G5" s="65"/>
      <c r="H5" s="80" t="s">
        <v>37</v>
      </c>
      <c r="I5" s="65"/>
      <c r="J5" s="80" t="s">
        <v>38</v>
      </c>
      <c r="K5" s="65"/>
      <c r="L5" s="80" t="s">
        <v>39</v>
      </c>
      <c r="M5" s="65"/>
      <c r="N5" s="85" t="s">
        <v>40</v>
      </c>
      <c r="O5" s="65"/>
      <c r="P5" s="66" t="s">
        <v>3</v>
      </c>
    </row>
    <row r="6" spans="1:16" ht="15.75" customHeight="1" x14ac:dyDescent="0.25">
      <c r="A6" s="73" t="s">
        <v>4</v>
      </c>
      <c r="B6" s="82">
        <f>B80</f>
        <v>45558</v>
      </c>
      <c r="C6" s="83"/>
      <c r="D6" s="82">
        <f>D80</f>
        <v>45559</v>
      </c>
      <c r="E6" s="83"/>
      <c r="F6" s="82">
        <f>F80</f>
        <v>45560</v>
      </c>
      <c r="G6" s="83"/>
      <c r="H6" s="82">
        <f>H80</f>
        <v>45561</v>
      </c>
      <c r="I6" s="83"/>
      <c r="J6" s="82">
        <f>J80</f>
        <v>45562</v>
      </c>
      <c r="K6" s="83"/>
      <c r="L6" s="82">
        <f>L80</f>
        <v>45563</v>
      </c>
      <c r="M6" s="83"/>
      <c r="N6" s="89">
        <f>N80</f>
        <v>45564</v>
      </c>
      <c r="O6" s="83"/>
      <c r="P6" s="67"/>
    </row>
    <row r="7" spans="1:16" x14ac:dyDescent="0.25">
      <c r="A7" s="74"/>
      <c r="B7" s="41" t="s">
        <v>49</v>
      </c>
      <c r="C7" s="41" t="s">
        <v>56</v>
      </c>
      <c r="D7" s="48" t="s">
        <v>49</v>
      </c>
      <c r="E7" s="48" t="s">
        <v>50</v>
      </c>
      <c r="F7" s="48" t="s">
        <v>49</v>
      </c>
      <c r="G7" s="48" t="s">
        <v>50</v>
      </c>
      <c r="H7" s="48" t="s">
        <v>49</v>
      </c>
      <c r="I7" s="48" t="s">
        <v>50</v>
      </c>
      <c r="J7" s="48" t="s">
        <v>49</v>
      </c>
      <c r="K7" s="48" t="s">
        <v>50</v>
      </c>
      <c r="L7" s="41" t="s">
        <v>57</v>
      </c>
      <c r="M7" s="41" t="s">
        <v>58</v>
      </c>
      <c r="N7" s="48" t="s">
        <v>53</v>
      </c>
      <c r="O7" s="42" t="s">
        <v>53</v>
      </c>
      <c r="P7" s="68"/>
    </row>
    <row r="8" spans="1:16" x14ac:dyDescent="0.25">
      <c r="A8" s="37" t="s">
        <v>41</v>
      </c>
      <c r="B8" s="79">
        <v>7</v>
      </c>
      <c r="C8" s="77"/>
      <c r="D8" s="79">
        <v>10.5</v>
      </c>
      <c r="E8" s="77"/>
      <c r="F8" s="86">
        <v>10</v>
      </c>
      <c r="G8" s="77"/>
      <c r="H8" s="86">
        <v>10</v>
      </c>
      <c r="I8" s="77"/>
      <c r="J8" s="86">
        <v>10</v>
      </c>
      <c r="K8" s="77"/>
      <c r="L8" s="86">
        <v>8</v>
      </c>
      <c r="M8" s="77"/>
      <c r="N8" s="87" t="s">
        <v>53</v>
      </c>
      <c r="O8" s="77"/>
      <c r="P8" s="39">
        <f>SUM(B8:N8)</f>
        <v>55.5</v>
      </c>
    </row>
    <row r="9" spans="1:16" x14ac:dyDescent="0.25">
      <c r="A9" s="37" t="s">
        <v>32</v>
      </c>
      <c r="B9" s="79">
        <v>9</v>
      </c>
      <c r="C9" s="77"/>
      <c r="D9" s="79">
        <v>10.5</v>
      </c>
      <c r="E9" s="77"/>
      <c r="F9" s="79">
        <v>10</v>
      </c>
      <c r="G9" s="77"/>
      <c r="H9" s="79">
        <v>10</v>
      </c>
      <c r="I9" s="77"/>
      <c r="J9" s="79">
        <v>10</v>
      </c>
      <c r="K9" s="77"/>
      <c r="L9" s="79">
        <v>8</v>
      </c>
      <c r="M9" s="77"/>
      <c r="N9" s="87" t="s">
        <v>53</v>
      </c>
      <c r="O9" s="77"/>
      <c r="P9" s="39">
        <f>SUM(B9:N9)</f>
        <v>57.5</v>
      </c>
    </row>
    <row r="10" spans="1:16" x14ac:dyDescent="0.25">
      <c r="A10" s="44" t="s">
        <v>30</v>
      </c>
      <c r="B10" s="79">
        <v>9</v>
      </c>
      <c r="C10" s="77"/>
      <c r="D10" s="79">
        <v>10.5</v>
      </c>
      <c r="E10" s="77"/>
      <c r="F10" s="79">
        <v>10</v>
      </c>
      <c r="G10" s="77"/>
      <c r="H10" s="81">
        <v>10</v>
      </c>
      <c r="I10" s="77"/>
      <c r="J10" s="79">
        <v>10</v>
      </c>
      <c r="K10" s="77"/>
      <c r="L10" s="79">
        <v>8</v>
      </c>
      <c r="M10" s="77"/>
      <c r="N10" s="79" t="s">
        <v>53</v>
      </c>
      <c r="O10" s="77"/>
      <c r="P10" s="39">
        <f>SUM(B10:O10)</f>
        <v>57.5</v>
      </c>
    </row>
    <row r="11" spans="1:16" x14ac:dyDescent="0.25">
      <c r="A11" s="20"/>
      <c r="B11" s="40"/>
      <c r="C11" s="40"/>
      <c r="D11" s="40"/>
      <c r="E11" s="40"/>
      <c r="F11" s="48"/>
      <c r="G11" s="48"/>
      <c r="H11" s="55"/>
      <c r="I11" s="55"/>
      <c r="J11" s="53"/>
      <c r="K11" s="53"/>
      <c r="L11" s="53"/>
      <c r="M11" s="53"/>
      <c r="N11" s="53"/>
      <c r="O11" s="57"/>
      <c r="P11" s="39">
        <f>SUM(B11:O11)</f>
        <v>0</v>
      </c>
    </row>
    <row r="12" spans="1:16" x14ac:dyDescent="0.25">
      <c r="A12" s="37"/>
      <c r="B12" s="53"/>
      <c r="C12" s="53"/>
      <c r="D12" s="53"/>
      <c r="E12" s="53"/>
      <c r="F12" s="48"/>
      <c r="G12" s="48"/>
      <c r="H12" s="55"/>
      <c r="I12" s="55"/>
      <c r="J12" s="53"/>
      <c r="K12" s="53"/>
      <c r="L12" s="53"/>
      <c r="M12" s="53"/>
      <c r="N12" s="53"/>
      <c r="O12" s="57"/>
      <c r="P12" s="39">
        <f>SUM(B12:O12)</f>
        <v>0</v>
      </c>
    </row>
    <row r="13" spans="1:16" x14ac:dyDescent="0.25">
      <c r="A13" s="37"/>
      <c r="B13" s="53"/>
      <c r="C13" s="53"/>
      <c r="D13" s="53"/>
      <c r="E13" s="53"/>
      <c r="F13" s="49"/>
      <c r="G13" s="49"/>
      <c r="H13" s="55"/>
      <c r="I13" s="55"/>
      <c r="J13" s="53"/>
      <c r="K13" s="53"/>
      <c r="L13" s="53"/>
      <c r="M13" s="53"/>
      <c r="N13" s="53"/>
      <c r="O13" s="57"/>
      <c r="P13" s="39">
        <f>SUM(B13:O13)</f>
        <v>0</v>
      </c>
    </row>
    <row r="14" spans="1:16" x14ac:dyDescent="0.25">
      <c r="A14" s="37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7"/>
      <c r="P14" s="39">
        <f>SUM(B14:O14)</f>
        <v>0</v>
      </c>
    </row>
    <row r="15" spans="1:16" x14ac:dyDescent="0.25">
      <c r="A15" s="37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7"/>
      <c r="P15" s="39">
        <f>SUM(H15:O15)</f>
        <v>0</v>
      </c>
    </row>
    <row r="16" spans="1:16" x14ac:dyDescent="0.25">
      <c r="A16" s="37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7"/>
      <c r="P16" s="39">
        <f t="shared" ref="P16:P22" si="0">SUM(B16:O16)</f>
        <v>0</v>
      </c>
    </row>
    <row r="17" spans="1:19" x14ac:dyDescent="0.25">
      <c r="A17" s="38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7"/>
      <c r="P17" s="39">
        <f t="shared" si="0"/>
        <v>0</v>
      </c>
    </row>
    <row r="18" spans="1:19" x14ac:dyDescent="0.25">
      <c r="A18" s="38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7"/>
      <c r="P18" s="39">
        <f t="shared" si="0"/>
        <v>0</v>
      </c>
    </row>
    <row r="19" spans="1:19" x14ac:dyDescent="0.25">
      <c r="A19" s="38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7"/>
      <c r="P19" s="39">
        <f t="shared" si="0"/>
        <v>0</v>
      </c>
    </row>
    <row r="20" spans="1:19" x14ac:dyDescent="0.25">
      <c r="A20" s="38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7"/>
      <c r="P20" s="39">
        <f t="shared" si="0"/>
        <v>0</v>
      </c>
    </row>
    <row r="21" spans="1:19" x14ac:dyDescent="0.25">
      <c r="A21" s="38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7"/>
      <c r="P21" s="39">
        <f t="shared" si="0"/>
        <v>0</v>
      </c>
    </row>
    <row r="22" spans="1:19" x14ac:dyDescent="0.25">
      <c r="A22" s="38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7"/>
      <c r="P22" s="39">
        <f t="shared" si="0"/>
        <v>0</v>
      </c>
    </row>
    <row r="23" spans="1:19" x14ac:dyDescent="0.25">
      <c r="H23" s="16"/>
      <c r="I23" s="16"/>
      <c r="P23" s="5">
        <f>SUM(P8:P22)</f>
        <v>170.5</v>
      </c>
    </row>
    <row r="24" spans="1:19" x14ac:dyDescent="0.25">
      <c r="A24" s="1" t="s">
        <v>7</v>
      </c>
      <c r="D24" s="1" t="s">
        <v>8</v>
      </c>
      <c r="E24" s="1"/>
      <c r="F24" s="1"/>
      <c r="G24" s="21"/>
    </row>
    <row r="25" spans="1:19" x14ac:dyDescent="0.25">
      <c r="A25" s="11"/>
      <c r="D25" s="13">
        <v>0.5</v>
      </c>
      <c r="E25" s="13"/>
      <c r="F25" s="13">
        <v>0.52083333333333337</v>
      </c>
      <c r="G25" s="22"/>
      <c r="J25" s="69" t="s">
        <v>10</v>
      </c>
      <c r="K25" s="70"/>
      <c r="L25" s="70"/>
      <c r="M25" s="70"/>
      <c r="N25" s="70"/>
      <c r="O25" s="84"/>
      <c r="P25" s="70"/>
      <c r="Q25" s="70"/>
      <c r="R25" s="70"/>
    </row>
    <row r="26" spans="1:19" x14ac:dyDescent="0.25">
      <c r="A26" s="17"/>
      <c r="D26" s="52"/>
      <c r="E26" s="52"/>
      <c r="F26" s="52"/>
      <c r="G26" s="24"/>
      <c r="J26" s="4"/>
      <c r="K26" s="4"/>
      <c r="L26" s="4"/>
      <c r="M26" s="4"/>
      <c r="N26" s="4"/>
      <c r="O26" s="26"/>
      <c r="P26" s="4"/>
      <c r="Q26" s="4"/>
      <c r="R26" s="4"/>
    </row>
    <row r="27" spans="1:19" x14ac:dyDescent="0.25">
      <c r="A27" s="17"/>
      <c r="D27" s="52"/>
      <c r="E27" s="52"/>
      <c r="F27" s="52"/>
      <c r="G27" s="24"/>
    </row>
    <row r="28" spans="1:19" x14ac:dyDescent="0.25">
      <c r="A28" s="17"/>
      <c r="D28" s="52"/>
      <c r="E28" s="52"/>
      <c r="F28" s="52"/>
      <c r="G28" s="24"/>
    </row>
    <row r="29" spans="1:19" x14ac:dyDescent="0.25">
      <c r="J29" s="69" t="s">
        <v>12</v>
      </c>
      <c r="K29" s="70"/>
      <c r="L29" s="70"/>
      <c r="M29" s="70"/>
      <c r="N29" s="70"/>
      <c r="O29" s="84"/>
      <c r="P29" s="70"/>
      <c r="Q29" s="70"/>
      <c r="R29" s="70"/>
      <c r="S29" s="70"/>
    </row>
    <row r="30" spans="1:19" x14ac:dyDescent="0.25">
      <c r="A30" s="78" t="s">
        <v>13</v>
      </c>
      <c r="B30" s="64"/>
      <c r="C30" s="64"/>
      <c r="D30" s="64"/>
      <c r="E30" s="64"/>
      <c r="F30" s="64"/>
      <c r="G30" s="64"/>
      <c r="H30" s="65"/>
      <c r="I30" s="23"/>
    </row>
    <row r="31" spans="1:19" x14ac:dyDescent="0.25">
      <c r="A31" s="17" t="s">
        <v>14</v>
      </c>
      <c r="B31" s="58" t="s">
        <v>42</v>
      </c>
      <c r="C31" s="58"/>
      <c r="D31" s="52" t="s">
        <v>43</v>
      </c>
      <c r="E31" s="52"/>
      <c r="F31" s="52" t="s">
        <v>44</v>
      </c>
      <c r="G31" s="52"/>
      <c r="H31" s="52" t="s">
        <v>45</v>
      </c>
      <c r="I31" s="24"/>
      <c r="J31" s="25" t="s">
        <v>46</v>
      </c>
      <c r="K31" s="25"/>
    </row>
    <row r="32" spans="1:19" x14ac:dyDescent="0.25">
      <c r="A32" s="17" t="s">
        <v>41</v>
      </c>
      <c r="B32" s="45" t="s">
        <v>59</v>
      </c>
      <c r="C32" s="45"/>
      <c r="D32" s="45" t="s">
        <v>60</v>
      </c>
      <c r="E32" s="45"/>
      <c r="F32" s="46">
        <v>45558</v>
      </c>
      <c r="G32" s="46" t="s">
        <v>61</v>
      </c>
      <c r="H32" s="52"/>
      <c r="I32" s="24"/>
      <c r="J32" s="25">
        <v>200</v>
      </c>
      <c r="K32" s="25"/>
    </row>
    <row r="33" spans="1:9" x14ac:dyDescent="0.25">
      <c r="A33" s="17"/>
      <c r="B33" s="45"/>
      <c r="C33" s="45"/>
      <c r="D33" s="45"/>
      <c r="E33" s="45"/>
      <c r="F33" s="46"/>
      <c r="G33" s="46"/>
      <c r="H33" s="52"/>
      <c r="I33" s="24"/>
    </row>
    <row r="34" spans="1:9" x14ac:dyDescent="0.25">
      <c r="A34" s="17"/>
      <c r="B34" s="18"/>
      <c r="C34" s="18"/>
      <c r="D34" s="18"/>
      <c r="E34" s="18"/>
      <c r="F34" s="29"/>
      <c r="G34" s="29"/>
      <c r="H34" s="52"/>
      <c r="I34" s="24"/>
    </row>
    <row r="35" spans="1:9" x14ac:dyDescent="0.25">
      <c r="B35" s="24"/>
      <c r="C35" s="24"/>
      <c r="D35" s="24"/>
      <c r="E35" s="24"/>
      <c r="F35" s="24"/>
      <c r="G35" s="24"/>
    </row>
    <row r="80" spans="1:14" x14ac:dyDescent="0.25">
      <c r="A80" s="43" t="s">
        <v>62</v>
      </c>
      <c r="B80" s="36">
        <v>45558</v>
      </c>
      <c r="C80" s="36"/>
      <c r="D80" s="36">
        <v>45559</v>
      </c>
      <c r="E80" s="36"/>
      <c r="F80" s="36">
        <v>45560</v>
      </c>
      <c r="G80" s="36"/>
      <c r="H80" s="36">
        <v>45561</v>
      </c>
      <c r="I80" s="36"/>
      <c r="J80" s="36">
        <v>45562</v>
      </c>
      <c r="K80" s="36"/>
      <c r="L80" s="36">
        <v>45563</v>
      </c>
      <c r="M80" s="36"/>
      <c r="N80" s="36">
        <v>45564</v>
      </c>
    </row>
  </sheetData>
  <mergeCells count="43">
    <mergeCell ref="B4:P4"/>
    <mergeCell ref="B9:C9"/>
    <mergeCell ref="A1:A5"/>
    <mergeCell ref="D9:E9"/>
    <mergeCell ref="F9:G9"/>
    <mergeCell ref="L9:M9"/>
    <mergeCell ref="D8:E8"/>
    <mergeCell ref="N9:O9"/>
    <mergeCell ref="B6:C6"/>
    <mergeCell ref="B3:D3"/>
    <mergeCell ref="L6:M6"/>
    <mergeCell ref="N6:O6"/>
    <mergeCell ref="B5:C5"/>
    <mergeCell ref="D5:E5"/>
    <mergeCell ref="H5:I5"/>
    <mergeCell ref="H8:I8"/>
    <mergeCell ref="L5:M5"/>
    <mergeCell ref="N5:O5"/>
    <mergeCell ref="J29:S29"/>
    <mergeCell ref="B8:C8"/>
    <mergeCell ref="L8:M8"/>
    <mergeCell ref="N8:O8"/>
    <mergeCell ref="F8:G8"/>
    <mergeCell ref="L10:M10"/>
    <mergeCell ref="B10:C10"/>
    <mergeCell ref="N10:O10"/>
    <mergeCell ref="J8:K8"/>
    <mergeCell ref="A30:H30"/>
    <mergeCell ref="D10:E10"/>
    <mergeCell ref="J5:K5"/>
    <mergeCell ref="F10:G10"/>
    <mergeCell ref="H10:I10"/>
    <mergeCell ref="J10:K10"/>
    <mergeCell ref="F6:G6"/>
    <mergeCell ref="A6:A7"/>
    <mergeCell ref="H9:I9"/>
    <mergeCell ref="J9:K9"/>
    <mergeCell ref="D6:E6"/>
    <mergeCell ref="H6:I6"/>
    <mergeCell ref="J25:R25"/>
    <mergeCell ref="J6:K6"/>
    <mergeCell ref="F5:G5"/>
    <mergeCell ref="P5:P7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80"/>
  <sheetViews>
    <sheetView workbookViewId="0">
      <selection activeCell="P16" sqref="P16"/>
    </sheetView>
  </sheetViews>
  <sheetFormatPr defaultColWidth="8.5703125" defaultRowHeight="15" x14ac:dyDescent="0.25"/>
  <cols>
    <col min="1" max="1" width="28.5703125" customWidth="1"/>
    <col min="2" max="14" width="5.7109375" customWidth="1"/>
    <col min="15" max="15" width="5.7109375" style="56" customWidth="1"/>
    <col min="16" max="16" width="13.140625" customWidth="1"/>
    <col min="17" max="102" width="8.5703125" customWidth="1"/>
  </cols>
  <sheetData>
    <row r="1" spans="1:16" x14ac:dyDescent="0.25">
      <c r="A1" s="74"/>
    </row>
    <row r="2" spans="1:16" x14ac:dyDescent="0.25">
      <c r="A2" s="70"/>
    </row>
    <row r="3" spans="1:16" x14ac:dyDescent="0.25">
      <c r="A3" s="70"/>
      <c r="B3" s="88" t="str">
        <f>A80</f>
        <v>Týden 40</v>
      </c>
      <c r="C3" s="64"/>
      <c r="D3" s="65"/>
      <c r="E3" s="24"/>
    </row>
    <row r="4" spans="1:16" x14ac:dyDescent="0.25">
      <c r="A4" s="70"/>
      <c r="B4" s="71" t="s">
        <v>55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5"/>
    </row>
    <row r="5" spans="1:16" x14ac:dyDescent="0.25">
      <c r="A5" s="74"/>
      <c r="B5" s="90" t="s">
        <v>2</v>
      </c>
      <c r="C5" s="65"/>
      <c r="D5" s="80" t="s">
        <v>35</v>
      </c>
      <c r="E5" s="65"/>
      <c r="F5" s="80" t="s">
        <v>36</v>
      </c>
      <c r="G5" s="65"/>
      <c r="H5" s="80" t="s">
        <v>37</v>
      </c>
      <c r="I5" s="65"/>
      <c r="J5" s="80" t="s">
        <v>38</v>
      </c>
      <c r="K5" s="65"/>
      <c r="L5" s="80" t="s">
        <v>39</v>
      </c>
      <c r="M5" s="65"/>
      <c r="N5" s="85" t="s">
        <v>40</v>
      </c>
      <c r="O5" s="65"/>
      <c r="P5" s="66" t="s">
        <v>3</v>
      </c>
    </row>
    <row r="6" spans="1:16" ht="15.75" customHeight="1" x14ac:dyDescent="0.25">
      <c r="A6" s="73" t="s">
        <v>4</v>
      </c>
      <c r="B6" s="82" t="str">
        <f>B80</f>
        <v>30.09.2024</v>
      </c>
      <c r="C6" s="83"/>
      <c r="D6" s="82" t="str">
        <f>D80</f>
        <v>01.10.2024</v>
      </c>
      <c r="E6" s="83"/>
      <c r="F6" s="82" t="str">
        <f>F80</f>
        <v>02.10.2024</v>
      </c>
      <c r="G6" s="83"/>
      <c r="H6" s="82" t="str">
        <f>H80</f>
        <v>03.10.2024</v>
      </c>
      <c r="I6" s="83"/>
      <c r="J6" s="82" t="str">
        <f>J80</f>
        <v>04.10.2024</v>
      </c>
      <c r="K6" s="83"/>
      <c r="L6" s="82" t="str">
        <f>L80</f>
        <v>05.10.2024</v>
      </c>
      <c r="M6" s="83"/>
      <c r="N6" s="89">
        <f>N80</f>
        <v>0</v>
      </c>
      <c r="O6" s="83"/>
      <c r="P6" s="67"/>
    </row>
    <row r="7" spans="1:16" x14ac:dyDescent="0.25">
      <c r="A7" s="74"/>
      <c r="B7" s="41" t="s">
        <v>49</v>
      </c>
      <c r="C7" s="41" t="s">
        <v>50</v>
      </c>
      <c r="D7" s="48" t="s">
        <v>49</v>
      </c>
      <c r="E7" s="48" t="s">
        <v>50</v>
      </c>
      <c r="F7" s="48" t="s">
        <v>49</v>
      </c>
      <c r="G7" s="48" t="s">
        <v>50</v>
      </c>
      <c r="H7" s="48" t="s">
        <v>49</v>
      </c>
      <c r="I7" s="48" t="s">
        <v>50</v>
      </c>
      <c r="J7" s="48" t="s">
        <v>49</v>
      </c>
      <c r="K7" s="48" t="s">
        <v>50</v>
      </c>
      <c r="L7" s="41" t="s">
        <v>57</v>
      </c>
      <c r="M7" s="41" t="s">
        <v>63</v>
      </c>
      <c r="N7" s="48"/>
      <c r="O7" s="42"/>
      <c r="P7" s="68"/>
    </row>
    <row r="8" spans="1:16" x14ac:dyDescent="0.25">
      <c r="A8" s="37" t="s">
        <v>41</v>
      </c>
      <c r="B8" s="79">
        <v>10</v>
      </c>
      <c r="C8" s="77"/>
      <c r="D8" s="79">
        <v>10</v>
      </c>
      <c r="E8" s="77"/>
      <c r="F8" s="86">
        <v>10</v>
      </c>
      <c r="G8" s="77"/>
      <c r="H8" s="86">
        <v>10</v>
      </c>
      <c r="I8" s="77"/>
      <c r="J8" s="86">
        <v>10</v>
      </c>
      <c r="K8" s="77"/>
      <c r="L8" s="86">
        <v>8</v>
      </c>
      <c r="M8" s="77"/>
      <c r="N8" s="87"/>
      <c r="O8" s="77"/>
      <c r="P8" s="39">
        <f>SUM(B8:N8)</f>
        <v>58</v>
      </c>
    </row>
    <row r="9" spans="1:16" x14ac:dyDescent="0.25">
      <c r="A9" s="37" t="s">
        <v>32</v>
      </c>
      <c r="B9" s="79">
        <v>10</v>
      </c>
      <c r="C9" s="77"/>
      <c r="D9" s="79">
        <v>10</v>
      </c>
      <c r="E9" s="77"/>
      <c r="F9" s="79">
        <v>10</v>
      </c>
      <c r="G9" s="77"/>
      <c r="H9" s="79">
        <v>10</v>
      </c>
      <c r="I9" s="77"/>
      <c r="J9" s="79">
        <v>10</v>
      </c>
      <c r="K9" s="77"/>
      <c r="L9" s="79">
        <v>8</v>
      </c>
      <c r="M9" s="77"/>
      <c r="N9" s="87"/>
      <c r="O9" s="77"/>
      <c r="P9" s="39">
        <f>SUM(B9:N9)</f>
        <v>58</v>
      </c>
    </row>
    <row r="10" spans="1:16" x14ac:dyDescent="0.25">
      <c r="A10" s="44" t="s">
        <v>30</v>
      </c>
      <c r="B10" s="79">
        <v>10</v>
      </c>
      <c r="C10" s="77"/>
      <c r="D10" s="79">
        <v>10</v>
      </c>
      <c r="E10" s="77"/>
      <c r="F10" s="79">
        <v>10</v>
      </c>
      <c r="G10" s="77"/>
      <c r="H10" s="81">
        <v>10</v>
      </c>
      <c r="I10" s="77"/>
      <c r="J10" s="79">
        <v>10</v>
      </c>
      <c r="K10" s="77"/>
      <c r="L10" s="79">
        <v>8</v>
      </c>
      <c r="M10" s="77"/>
      <c r="N10" s="79"/>
      <c r="O10" s="77"/>
      <c r="P10" s="39">
        <f t="shared" ref="P10:P22" si="0">SUM(B10:O10)</f>
        <v>58</v>
      </c>
    </row>
    <row r="11" spans="1:16" x14ac:dyDescent="0.25">
      <c r="A11" s="20" t="s">
        <v>64</v>
      </c>
      <c r="B11" s="79">
        <v>10</v>
      </c>
      <c r="C11" s="77"/>
      <c r="D11" s="79">
        <v>10</v>
      </c>
      <c r="E11" s="77"/>
      <c r="F11" s="76">
        <v>10</v>
      </c>
      <c r="G11" s="77"/>
      <c r="H11" s="81">
        <v>10</v>
      </c>
      <c r="I11" s="77"/>
      <c r="J11" s="79">
        <v>10</v>
      </c>
      <c r="K11" s="77"/>
      <c r="L11" s="79">
        <v>8</v>
      </c>
      <c r="M11" s="77"/>
      <c r="N11" s="79"/>
      <c r="O11" s="77"/>
      <c r="P11" s="39">
        <f t="shared" si="0"/>
        <v>58</v>
      </c>
    </row>
    <row r="12" spans="1:16" x14ac:dyDescent="0.25">
      <c r="A12" s="37" t="s">
        <v>31</v>
      </c>
      <c r="B12" s="79">
        <v>10</v>
      </c>
      <c r="C12" s="77"/>
      <c r="D12" s="79">
        <v>10</v>
      </c>
      <c r="E12" s="77"/>
      <c r="F12" s="76">
        <v>10</v>
      </c>
      <c r="G12" s="77"/>
      <c r="H12" s="81">
        <v>10</v>
      </c>
      <c r="I12" s="77"/>
      <c r="J12" s="79">
        <v>10</v>
      </c>
      <c r="K12" s="77"/>
      <c r="L12" s="79">
        <v>0</v>
      </c>
      <c r="M12" s="77"/>
      <c r="N12" s="79"/>
      <c r="O12" s="77"/>
      <c r="P12" s="39">
        <f t="shared" si="0"/>
        <v>50</v>
      </c>
    </row>
    <row r="13" spans="1:16" x14ac:dyDescent="0.25">
      <c r="A13" s="37"/>
      <c r="B13" s="53"/>
      <c r="C13" s="53"/>
      <c r="D13" s="53"/>
      <c r="E13" s="53"/>
      <c r="F13" s="49"/>
      <c r="G13" s="49"/>
      <c r="H13" s="55"/>
      <c r="I13" s="55"/>
      <c r="J13" s="53"/>
      <c r="K13" s="53"/>
      <c r="L13" s="53"/>
      <c r="M13" s="53"/>
      <c r="N13" s="53"/>
      <c r="O13" s="57"/>
      <c r="P13" s="39">
        <f t="shared" si="0"/>
        <v>0</v>
      </c>
    </row>
    <row r="14" spans="1:16" x14ac:dyDescent="0.25">
      <c r="A14" s="37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7"/>
      <c r="P14" s="39">
        <f t="shared" si="0"/>
        <v>0</v>
      </c>
    </row>
    <row r="15" spans="1:16" x14ac:dyDescent="0.25">
      <c r="A15" s="37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7"/>
      <c r="P15" s="39">
        <f t="shared" si="0"/>
        <v>0</v>
      </c>
    </row>
    <row r="16" spans="1:16" x14ac:dyDescent="0.25">
      <c r="A16" s="37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7"/>
      <c r="P16" s="39">
        <f t="shared" si="0"/>
        <v>0</v>
      </c>
    </row>
    <row r="17" spans="1:19" x14ac:dyDescent="0.25">
      <c r="A17" s="38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7"/>
      <c r="P17" s="39">
        <f t="shared" si="0"/>
        <v>0</v>
      </c>
    </row>
    <row r="18" spans="1:19" x14ac:dyDescent="0.25">
      <c r="A18" s="38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7"/>
      <c r="P18" s="39">
        <f t="shared" si="0"/>
        <v>0</v>
      </c>
    </row>
    <row r="19" spans="1:19" x14ac:dyDescent="0.25">
      <c r="A19" s="38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7"/>
      <c r="P19" s="39">
        <f t="shared" si="0"/>
        <v>0</v>
      </c>
    </row>
    <row r="20" spans="1:19" x14ac:dyDescent="0.25">
      <c r="A20" s="38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7"/>
      <c r="P20" s="39">
        <f t="shared" si="0"/>
        <v>0</v>
      </c>
    </row>
    <row r="21" spans="1:19" x14ac:dyDescent="0.25">
      <c r="A21" s="38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7"/>
      <c r="P21" s="39">
        <f t="shared" si="0"/>
        <v>0</v>
      </c>
    </row>
    <row r="22" spans="1:19" x14ac:dyDescent="0.25">
      <c r="A22" s="38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7"/>
      <c r="P22" s="39">
        <f t="shared" si="0"/>
        <v>0</v>
      </c>
    </row>
    <row r="23" spans="1:19" x14ac:dyDescent="0.25">
      <c r="H23" s="16"/>
      <c r="I23" s="16"/>
      <c r="P23" s="5">
        <f>SUM(P8:P22)</f>
        <v>282</v>
      </c>
    </row>
    <row r="24" spans="1:19" x14ac:dyDescent="0.25">
      <c r="A24" s="1" t="s">
        <v>7</v>
      </c>
      <c r="D24" s="1" t="s">
        <v>8</v>
      </c>
      <c r="E24" s="1"/>
      <c r="F24" s="1"/>
      <c r="G24" s="21"/>
    </row>
    <row r="25" spans="1:19" x14ac:dyDescent="0.25">
      <c r="A25" s="11"/>
      <c r="D25" s="13">
        <v>0.5</v>
      </c>
      <c r="E25" s="13"/>
      <c r="F25" s="13">
        <v>0.52083333333333337</v>
      </c>
      <c r="G25" s="22"/>
      <c r="J25" s="69" t="s">
        <v>10</v>
      </c>
      <c r="K25" s="70"/>
      <c r="L25" s="70"/>
      <c r="M25" s="70"/>
      <c r="N25" s="70"/>
      <c r="O25" s="84"/>
      <c r="P25" s="70"/>
      <c r="Q25" s="70"/>
      <c r="R25" s="70"/>
    </row>
    <row r="26" spans="1:19" x14ac:dyDescent="0.25">
      <c r="A26" s="17"/>
      <c r="D26" s="52"/>
      <c r="E26" s="52"/>
      <c r="F26" s="52"/>
      <c r="G26" s="24"/>
      <c r="J26" s="4"/>
      <c r="K26" s="4"/>
      <c r="L26" s="4"/>
      <c r="M26" s="4"/>
      <c r="N26" s="4"/>
      <c r="O26" s="26"/>
      <c r="P26" s="4"/>
      <c r="Q26" s="4"/>
      <c r="R26" s="4"/>
    </row>
    <row r="27" spans="1:19" x14ac:dyDescent="0.25">
      <c r="A27" s="17"/>
      <c r="D27" s="52"/>
      <c r="E27" s="52"/>
      <c r="F27" s="52"/>
      <c r="G27" s="24"/>
    </row>
    <row r="28" spans="1:19" x14ac:dyDescent="0.25">
      <c r="A28" s="17"/>
      <c r="D28" s="52"/>
      <c r="E28" s="52"/>
      <c r="F28" s="52"/>
      <c r="G28" s="24"/>
    </row>
    <row r="29" spans="1:19" x14ac:dyDescent="0.25">
      <c r="J29" s="69" t="s">
        <v>12</v>
      </c>
      <c r="K29" s="70"/>
      <c r="L29" s="70"/>
      <c r="M29" s="70"/>
      <c r="N29" s="70"/>
      <c r="O29" s="84"/>
      <c r="P29" s="70"/>
      <c r="Q29" s="70"/>
      <c r="R29" s="70"/>
      <c r="S29" s="70"/>
    </row>
    <row r="30" spans="1:19" x14ac:dyDescent="0.25">
      <c r="A30" s="78" t="s">
        <v>13</v>
      </c>
      <c r="B30" s="64"/>
      <c r="C30" s="64"/>
      <c r="D30" s="64"/>
      <c r="E30" s="64"/>
      <c r="F30" s="64"/>
      <c r="G30" s="64"/>
      <c r="H30" s="65"/>
      <c r="I30" s="23"/>
    </row>
    <row r="31" spans="1:19" x14ac:dyDescent="0.25">
      <c r="A31" s="17" t="s">
        <v>14</v>
      </c>
      <c r="B31" s="52" t="s">
        <v>42</v>
      </c>
      <c r="C31" s="52"/>
      <c r="D31" s="52" t="s">
        <v>43</v>
      </c>
      <c r="E31" s="52"/>
      <c r="F31" s="52" t="s">
        <v>44</v>
      </c>
      <c r="G31" s="52"/>
      <c r="H31" s="52" t="s">
        <v>45</v>
      </c>
      <c r="I31" s="24"/>
      <c r="J31" s="25" t="s">
        <v>46</v>
      </c>
      <c r="K31" s="25"/>
    </row>
    <row r="32" spans="1:19" x14ac:dyDescent="0.25">
      <c r="A32" s="17" t="s">
        <v>30</v>
      </c>
      <c r="B32" s="45" t="s">
        <v>60</v>
      </c>
      <c r="C32" s="45"/>
      <c r="D32" s="45" t="s">
        <v>59</v>
      </c>
      <c r="E32" s="45"/>
      <c r="F32" s="46">
        <v>45569</v>
      </c>
      <c r="G32" s="46"/>
      <c r="H32" s="52"/>
      <c r="I32" s="24"/>
      <c r="J32" s="25"/>
      <c r="K32" s="25"/>
    </row>
    <row r="33" spans="1:9" x14ac:dyDescent="0.25">
      <c r="A33" s="17"/>
      <c r="B33" s="45" t="s">
        <v>59</v>
      </c>
      <c r="C33" s="45"/>
      <c r="D33" s="45" t="s">
        <v>60</v>
      </c>
      <c r="E33" s="45"/>
      <c r="F33" s="46">
        <v>45569</v>
      </c>
      <c r="G33" s="46"/>
      <c r="H33" s="52"/>
      <c r="I33" s="24"/>
    </row>
    <row r="34" spans="1:9" x14ac:dyDescent="0.25">
      <c r="A34" s="17"/>
      <c r="B34" s="18"/>
      <c r="C34" s="18"/>
      <c r="D34" s="18"/>
      <c r="E34" s="18"/>
      <c r="F34" s="29"/>
      <c r="G34" s="29"/>
      <c r="H34" s="52"/>
      <c r="I34" s="24"/>
    </row>
    <row r="35" spans="1:9" x14ac:dyDescent="0.25">
      <c r="B35" s="24"/>
      <c r="C35" s="24"/>
      <c r="D35" s="24"/>
      <c r="E35" s="24"/>
      <c r="F35" s="24"/>
      <c r="G35" s="24"/>
    </row>
    <row r="80" spans="1:14" x14ac:dyDescent="0.25">
      <c r="A80" s="43" t="s">
        <v>65</v>
      </c>
      <c r="B80" s="36" t="s">
        <v>66</v>
      </c>
      <c r="C80" s="36"/>
      <c r="D80" s="36" t="s">
        <v>67</v>
      </c>
      <c r="E80" s="36"/>
      <c r="F80" s="36" t="s">
        <v>68</v>
      </c>
      <c r="G80" s="36"/>
      <c r="H80" s="36" t="s">
        <v>69</v>
      </c>
      <c r="I80" s="36"/>
      <c r="J80" s="36" t="s">
        <v>70</v>
      </c>
      <c r="K80" s="36"/>
      <c r="L80" s="36" t="s">
        <v>71</v>
      </c>
      <c r="M80" s="36"/>
      <c r="N80" s="36"/>
    </row>
  </sheetData>
  <mergeCells count="57">
    <mergeCell ref="B4:P4"/>
    <mergeCell ref="B9:C9"/>
    <mergeCell ref="A1:A5"/>
    <mergeCell ref="D9:E9"/>
    <mergeCell ref="F9:G9"/>
    <mergeCell ref="L9:M9"/>
    <mergeCell ref="D8:E8"/>
    <mergeCell ref="N9:O9"/>
    <mergeCell ref="B6:C6"/>
    <mergeCell ref="B3:D3"/>
    <mergeCell ref="L6:M6"/>
    <mergeCell ref="N6:O6"/>
    <mergeCell ref="B5:C5"/>
    <mergeCell ref="D5:E5"/>
    <mergeCell ref="H5:I5"/>
    <mergeCell ref="H8:I8"/>
    <mergeCell ref="F5:G5"/>
    <mergeCell ref="L5:M5"/>
    <mergeCell ref="P5:P7"/>
    <mergeCell ref="N5:O5"/>
    <mergeCell ref="J29:S29"/>
    <mergeCell ref="L8:M8"/>
    <mergeCell ref="N8:O8"/>
    <mergeCell ref="F8:G8"/>
    <mergeCell ref="H11:I11"/>
    <mergeCell ref="J11:K11"/>
    <mergeCell ref="L10:M10"/>
    <mergeCell ref="N10:O10"/>
    <mergeCell ref="H12:I12"/>
    <mergeCell ref="J12:K12"/>
    <mergeCell ref="L11:M11"/>
    <mergeCell ref="J8:K8"/>
    <mergeCell ref="H6:I6"/>
    <mergeCell ref="N12:O12"/>
    <mergeCell ref="B11:C11"/>
    <mergeCell ref="J25:R25"/>
    <mergeCell ref="D11:E11"/>
    <mergeCell ref="J6:K6"/>
    <mergeCell ref="B8:C8"/>
    <mergeCell ref="B10:C10"/>
    <mergeCell ref="D12:E12"/>
    <mergeCell ref="F11:G11"/>
    <mergeCell ref="A30:H30"/>
    <mergeCell ref="D10:E10"/>
    <mergeCell ref="N11:O11"/>
    <mergeCell ref="J5:K5"/>
    <mergeCell ref="F10:G10"/>
    <mergeCell ref="H10:I10"/>
    <mergeCell ref="J10:K10"/>
    <mergeCell ref="F6:G6"/>
    <mergeCell ref="A6:A7"/>
    <mergeCell ref="H9:I9"/>
    <mergeCell ref="B12:C12"/>
    <mergeCell ref="J9:K9"/>
    <mergeCell ref="D6:E6"/>
    <mergeCell ref="F12:G12"/>
    <mergeCell ref="L12:M12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80"/>
  <sheetViews>
    <sheetView tabSelected="1" topLeftCell="A4" workbookViewId="0">
      <selection activeCell="G80" sqref="G80"/>
    </sheetView>
  </sheetViews>
  <sheetFormatPr defaultColWidth="8.5703125" defaultRowHeight="15" x14ac:dyDescent="0.25"/>
  <cols>
    <col min="1" max="1" width="28.5703125" customWidth="1"/>
    <col min="2" max="14" width="5.7109375" customWidth="1"/>
    <col min="15" max="15" width="5.7109375" style="56" customWidth="1"/>
    <col min="16" max="16" width="13.140625" customWidth="1"/>
    <col min="17" max="102" width="8.5703125" customWidth="1"/>
  </cols>
  <sheetData>
    <row r="1" spans="1:16" x14ac:dyDescent="0.25">
      <c r="A1" s="74"/>
    </row>
    <row r="2" spans="1:16" x14ac:dyDescent="0.25">
      <c r="A2" s="70"/>
    </row>
    <row r="3" spans="1:16" x14ac:dyDescent="0.25">
      <c r="A3" s="70"/>
      <c r="B3" s="88" t="str">
        <f>A80</f>
        <v>Týden 41</v>
      </c>
      <c r="C3" s="64"/>
      <c r="D3" s="65"/>
      <c r="E3" s="24"/>
    </row>
    <row r="4" spans="1:16" x14ac:dyDescent="0.25">
      <c r="A4" s="70"/>
      <c r="B4" s="71" t="s">
        <v>23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5"/>
    </row>
    <row r="5" spans="1:16" x14ac:dyDescent="0.25">
      <c r="A5" s="74"/>
      <c r="B5" s="90" t="s">
        <v>2</v>
      </c>
      <c r="C5" s="65"/>
      <c r="D5" s="80" t="s">
        <v>35</v>
      </c>
      <c r="E5" s="65"/>
      <c r="F5" s="80" t="s">
        <v>36</v>
      </c>
      <c r="G5" s="65"/>
      <c r="H5" s="80" t="s">
        <v>37</v>
      </c>
      <c r="I5" s="65"/>
      <c r="J5" s="80" t="s">
        <v>38</v>
      </c>
      <c r="K5" s="65"/>
      <c r="L5" s="80" t="s">
        <v>39</v>
      </c>
      <c r="M5" s="65"/>
      <c r="N5" s="85" t="s">
        <v>40</v>
      </c>
      <c r="O5" s="65"/>
      <c r="P5" s="66" t="s">
        <v>3</v>
      </c>
    </row>
    <row r="6" spans="1:16" ht="15.75" customHeight="1" x14ac:dyDescent="0.25">
      <c r="A6" s="73" t="s">
        <v>4</v>
      </c>
      <c r="B6" s="82" t="str">
        <f>B80</f>
        <v>07.10.2024</v>
      </c>
      <c r="C6" s="83"/>
      <c r="D6" s="82" t="str">
        <f>D80</f>
        <v>08.10.2024</v>
      </c>
      <c r="E6" s="83"/>
      <c r="F6" s="82" t="str">
        <f>F80</f>
        <v>09.10.2024</v>
      </c>
      <c r="G6" s="83"/>
      <c r="H6" s="82">
        <f>H80</f>
        <v>0</v>
      </c>
      <c r="I6" s="83"/>
      <c r="J6" s="82">
        <f>J80</f>
        <v>0</v>
      </c>
      <c r="K6" s="83"/>
      <c r="L6" s="82">
        <f>L80</f>
        <v>0</v>
      </c>
      <c r="M6" s="83"/>
      <c r="N6" s="89">
        <f>N80</f>
        <v>0</v>
      </c>
      <c r="O6" s="83"/>
      <c r="P6" s="67"/>
    </row>
    <row r="7" spans="1:16" x14ac:dyDescent="0.25">
      <c r="A7" s="74"/>
      <c r="B7" s="41" t="s">
        <v>49</v>
      </c>
      <c r="C7" s="41" t="s">
        <v>50</v>
      </c>
      <c r="D7" s="48" t="s">
        <v>49</v>
      </c>
      <c r="E7" s="48" t="s">
        <v>50</v>
      </c>
      <c r="F7" s="48" t="s">
        <v>49</v>
      </c>
      <c r="G7" s="48" t="s">
        <v>50</v>
      </c>
      <c r="H7" s="48"/>
      <c r="I7" s="48"/>
      <c r="J7" s="48"/>
      <c r="K7" s="48"/>
      <c r="L7" s="41"/>
      <c r="M7" s="41"/>
      <c r="N7" s="48"/>
      <c r="O7" s="42"/>
      <c r="P7" s="68"/>
    </row>
    <row r="8" spans="1:16" x14ac:dyDescent="0.25">
      <c r="A8" s="37" t="s">
        <v>41</v>
      </c>
      <c r="B8" s="79">
        <v>10</v>
      </c>
      <c r="C8" s="77"/>
      <c r="D8" s="79">
        <v>10</v>
      </c>
      <c r="E8" s="77"/>
      <c r="F8" s="86">
        <v>10</v>
      </c>
      <c r="G8" s="77"/>
      <c r="H8" s="86"/>
      <c r="I8" s="77"/>
      <c r="J8" s="86"/>
      <c r="K8" s="77"/>
      <c r="L8" s="86"/>
      <c r="M8" s="77"/>
      <c r="N8" s="87"/>
      <c r="O8" s="77"/>
      <c r="P8" s="39">
        <f>SUM(B8:N8)</f>
        <v>30</v>
      </c>
    </row>
    <row r="9" spans="1:16" x14ac:dyDescent="0.25">
      <c r="A9" s="37" t="s">
        <v>32</v>
      </c>
      <c r="B9" s="79">
        <v>10</v>
      </c>
      <c r="C9" s="77"/>
      <c r="D9" s="79">
        <v>10</v>
      </c>
      <c r="E9" s="77"/>
      <c r="F9" s="79">
        <v>10</v>
      </c>
      <c r="G9" s="77"/>
      <c r="H9" s="79"/>
      <c r="I9" s="77"/>
      <c r="J9" s="79"/>
      <c r="K9" s="77"/>
      <c r="L9" s="79"/>
      <c r="M9" s="77"/>
      <c r="N9" s="87"/>
      <c r="O9" s="77"/>
      <c r="P9" s="39">
        <f>SUM(B9:N9)</f>
        <v>30</v>
      </c>
    </row>
    <row r="10" spans="1:16" x14ac:dyDescent="0.25">
      <c r="A10" s="44" t="s">
        <v>30</v>
      </c>
      <c r="B10" s="79">
        <v>10</v>
      </c>
      <c r="C10" s="77"/>
      <c r="D10" s="79">
        <v>10</v>
      </c>
      <c r="E10" s="77"/>
      <c r="F10" s="79">
        <v>10</v>
      </c>
      <c r="G10" s="77"/>
      <c r="H10" s="81"/>
      <c r="I10" s="77"/>
      <c r="J10" s="79"/>
      <c r="K10" s="77"/>
      <c r="L10" s="79"/>
      <c r="M10" s="77"/>
      <c r="N10" s="79"/>
      <c r="O10" s="77"/>
      <c r="P10" s="39">
        <f t="shared" ref="P10:P22" si="0">SUM(B10:O10)</f>
        <v>30</v>
      </c>
    </row>
    <row r="11" spans="1:16" x14ac:dyDescent="0.25">
      <c r="A11" s="20" t="s">
        <v>64</v>
      </c>
      <c r="B11" s="79">
        <v>10</v>
      </c>
      <c r="C11" s="77"/>
      <c r="D11" s="79">
        <v>10</v>
      </c>
      <c r="E11" s="77"/>
      <c r="F11" s="76">
        <v>10</v>
      </c>
      <c r="G11" s="77"/>
      <c r="H11" s="81"/>
      <c r="I11" s="77"/>
      <c r="J11" s="79"/>
      <c r="K11" s="77"/>
      <c r="L11" s="79"/>
      <c r="M11" s="77"/>
      <c r="N11" s="79"/>
      <c r="O11" s="77"/>
      <c r="P11" s="39">
        <f t="shared" si="0"/>
        <v>30</v>
      </c>
    </row>
    <row r="12" spans="1:16" x14ac:dyDescent="0.25">
      <c r="A12" s="37" t="s">
        <v>31</v>
      </c>
      <c r="B12" s="79">
        <v>10</v>
      </c>
      <c r="C12" s="77"/>
      <c r="D12" s="79">
        <v>10</v>
      </c>
      <c r="E12" s="77"/>
      <c r="F12" s="76">
        <v>10</v>
      </c>
      <c r="G12" s="77"/>
      <c r="H12" s="81"/>
      <c r="I12" s="77"/>
      <c r="J12" s="79"/>
      <c r="K12" s="77"/>
      <c r="L12" s="79"/>
      <c r="M12" s="77"/>
      <c r="N12" s="79"/>
      <c r="O12" s="77"/>
      <c r="P12" s="39">
        <f t="shared" si="0"/>
        <v>30</v>
      </c>
    </row>
    <row r="13" spans="1:16" x14ac:dyDescent="0.25">
      <c r="A13" s="37"/>
      <c r="B13" s="53"/>
      <c r="C13" s="53"/>
      <c r="D13" s="53"/>
      <c r="E13" s="53"/>
      <c r="F13" s="49"/>
      <c r="G13" s="49"/>
      <c r="H13" s="55"/>
      <c r="I13" s="55"/>
      <c r="J13" s="53"/>
      <c r="K13" s="53"/>
      <c r="L13" s="53"/>
      <c r="M13" s="53"/>
      <c r="N13" s="53"/>
      <c r="O13" s="57"/>
      <c r="P13" s="39">
        <f t="shared" si="0"/>
        <v>0</v>
      </c>
    </row>
    <row r="14" spans="1:16" x14ac:dyDescent="0.25">
      <c r="A14" s="37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7"/>
      <c r="P14" s="39">
        <f t="shared" si="0"/>
        <v>0</v>
      </c>
    </row>
    <row r="15" spans="1:16" x14ac:dyDescent="0.25">
      <c r="A15" s="37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7"/>
      <c r="P15" s="39">
        <f t="shared" si="0"/>
        <v>0</v>
      </c>
    </row>
    <row r="16" spans="1:16" x14ac:dyDescent="0.25">
      <c r="A16" s="37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7"/>
      <c r="P16" s="39">
        <f t="shared" si="0"/>
        <v>0</v>
      </c>
    </row>
    <row r="17" spans="1:19" x14ac:dyDescent="0.25">
      <c r="A17" s="38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7"/>
      <c r="P17" s="39">
        <f t="shared" si="0"/>
        <v>0</v>
      </c>
    </row>
    <row r="18" spans="1:19" x14ac:dyDescent="0.25">
      <c r="A18" s="38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7"/>
      <c r="P18" s="39">
        <f t="shared" si="0"/>
        <v>0</v>
      </c>
    </row>
    <row r="19" spans="1:19" x14ac:dyDescent="0.25">
      <c r="A19" s="38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7"/>
      <c r="P19" s="39">
        <f t="shared" si="0"/>
        <v>0</v>
      </c>
    </row>
    <row r="20" spans="1:19" x14ac:dyDescent="0.25">
      <c r="A20" s="38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7"/>
      <c r="P20" s="39">
        <f t="shared" si="0"/>
        <v>0</v>
      </c>
    </row>
    <row r="21" spans="1:19" x14ac:dyDescent="0.25">
      <c r="A21" s="38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7"/>
      <c r="P21" s="39">
        <f t="shared" si="0"/>
        <v>0</v>
      </c>
    </row>
    <row r="22" spans="1:19" x14ac:dyDescent="0.25">
      <c r="A22" s="38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7"/>
      <c r="P22" s="39">
        <f t="shared" si="0"/>
        <v>0</v>
      </c>
    </row>
    <row r="23" spans="1:19" x14ac:dyDescent="0.25">
      <c r="H23" s="16"/>
      <c r="I23" s="16"/>
      <c r="P23" s="5">
        <f>SUM(P8:P22)</f>
        <v>150</v>
      </c>
    </row>
    <row r="24" spans="1:19" x14ac:dyDescent="0.25">
      <c r="A24" s="1" t="s">
        <v>7</v>
      </c>
      <c r="D24" s="1" t="s">
        <v>8</v>
      </c>
      <c r="E24" s="1"/>
      <c r="F24" s="1"/>
      <c r="G24" s="21"/>
    </row>
    <row r="25" spans="1:19" x14ac:dyDescent="0.25">
      <c r="A25" s="11"/>
      <c r="D25" s="13">
        <v>0.5</v>
      </c>
      <c r="E25" s="13"/>
      <c r="F25" s="13">
        <v>0.52083333333333337</v>
      </c>
      <c r="G25" s="22"/>
      <c r="J25" s="69" t="s">
        <v>10</v>
      </c>
      <c r="K25" s="70"/>
      <c r="L25" s="70"/>
      <c r="M25" s="70"/>
      <c r="N25" s="70"/>
      <c r="O25" s="84"/>
      <c r="P25" s="70"/>
      <c r="Q25" s="70"/>
      <c r="R25" s="70"/>
    </row>
    <row r="26" spans="1:19" x14ac:dyDescent="0.25">
      <c r="A26" s="17"/>
      <c r="D26" s="52"/>
      <c r="E26" s="52"/>
      <c r="F26" s="52"/>
      <c r="G26" s="24"/>
      <c r="J26" s="4"/>
      <c r="K26" s="4"/>
      <c r="L26" s="4"/>
      <c r="M26" s="4"/>
      <c r="N26" s="4"/>
      <c r="O26" s="26"/>
      <c r="P26" s="4"/>
      <c r="Q26" s="4"/>
      <c r="R26" s="4"/>
    </row>
    <row r="27" spans="1:19" x14ac:dyDescent="0.25">
      <c r="A27" s="17"/>
      <c r="D27" s="52"/>
      <c r="E27" s="52"/>
      <c r="F27" s="52"/>
      <c r="G27" s="24"/>
    </row>
    <row r="28" spans="1:19" x14ac:dyDescent="0.25">
      <c r="A28" s="17"/>
      <c r="D28" s="52"/>
      <c r="E28" s="52"/>
      <c r="F28" s="52"/>
      <c r="G28" s="24"/>
    </row>
    <row r="29" spans="1:19" x14ac:dyDescent="0.25">
      <c r="J29" s="69" t="s">
        <v>12</v>
      </c>
      <c r="K29" s="70"/>
      <c r="L29" s="70"/>
      <c r="M29" s="70"/>
      <c r="N29" s="70"/>
      <c r="O29" s="84"/>
      <c r="P29" s="70"/>
      <c r="Q29" s="70"/>
      <c r="R29" s="70"/>
      <c r="S29" s="70"/>
    </row>
    <row r="30" spans="1:19" x14ac:dyDescent="0.25">
      <c r="A30" s="78" t="s">
        <v>13</v>
      </c>
      <c r="B30" s="64"/>
      <c r="C30" s="64"/>
      <c r="D30" s="64"/>
      <c r="E30" s="64"/>
      <c r="F30" s="64"/>
      <c r="G30" s="64"/>
      <c r="H30" s="65"/>
      <c r="I30" s="23"/>
    </row>
    <row r="31" spans="1:19" x14ac:dyDescent="0.25">
      <c r="A31" s="17" t="s">
        <v>14</v>
      </c>
      <c r="B31" s="52" t="s">
        <v>42</v>
      </c>
      <c r="C31" s="52"/>
      <c r="D31" s="52" t="s">
        <v>43</v>
      </c>
      <c r="E31" s="52"/>
      <c r="F31" s="52" t="s">
        <v>44</v>
      </c>
      <c r="G31" s="52"/>
      <c r="H31" s="52" t="s">
        <v>45</v>
      </c>
      <c r="I31" s="24"/>
      <c r="J31" s="25" t="s">
        <v>46</v>
      </c>
      <c r="K31" s="25"/>
    </row>
    <row r="32" spans="1:19" x14ac:dyDescent="0.25">
      <c r="A32" s="17"/>
      <c r="B32" s="45"/>
      <c r="C32" s="45"/>
      <c r="D32" s="45"/>
      <c r="E32" s="45"/>
      <c r="F32" s="46"/>
      <c r="G32" s="46"/>
      <c r="H32" s="52"/>
      <c r="I32" s="24"/>
      <c r="J32" s="25"/>
      <c r="K32" s="25"/>
    </row>
    <row r="33" spans="1:9" x14ac:dyDescent="0.25">
      <c r="A33" s="17"/>
      <c r="B33" s="45"/>
      <c r="C33" s="45"/>
      <c r="D33" s="45"/>
      <c r="E33" s="45"/>
      <c r="F33" s="46"/>
      <c r="G33" s="46"/>
      <c r="H33" s="52"/>
      <c r="I33" s="24"/>
    </row>
    <row r="34" spans="1:9" x14ac:dyDescent="0.25">
      <c r="A34" s="17"/>
      <c r="B34" s="18"/>
      <c r="C34" s="18"/>
      <c r="D34" s="18"/>
      <c r="E34" s="18"/>
      <c r="F34" s="29"/>
      <c r="G34" s="29"/>
      <c r="H34" s="52"/>
      <c r="I34" s="24"/>
    </row>
    <row r="35" spans="1:9" x14ac:dyDescent="0.25">
      <c r="B35" s="24"/>
      <c r="C35" s="24"/>
      <c r="D35" s="24"/>
      <c r="E35" s="24"/>
      <c r="F35" s="24"/>
      <c r="G35" s="24"/>
    </row>
    <row r="80" spans="1:14" x14ac:dyDescent="0.25">
      <c r="A80" s="43" t="s">
        <v>72</v>
      </c>
      <c r="B80" s="36" t="s">
        <v>73</v>
      </c>
      <c r="C80" s="36"/>
      <c r="D80" s="36" t="s">
        <v>74</v>
      </c>
      <c r="E80" s="36"/>
      <c r="F80" s="36" t="s">
        <v>75</v>
      </c>
      <c r="G80" s="36"/>
      <c r="H80" s="36"/>
      <c r="I80" s="36"/>
      <c r="J80" s="36"/>
      <c r="K80" s="36"/>
      <c r="L80" s="36"/>
      <c r="M80" s="36"/>
      <c r="N80" s="36"/>
    </row>
  </sheetData>
  <mergeCells count="57">
    <mergeCell ref="B4:P4"/>
    <mergeCell ref="B9:C9"/>
    <mergeCell ref="A1:A5"/>
    <mergeCell ref="D9:E9"/>
    <mergeCell ref="F9:G9"/>
    <mergeCell ref="L9:M9"/>
    <mergeCell ref="D8:E8"/>
    <mergeCell ref="N9:O9"/>
    <mergeCell ref="B6:C6"/>
    <mergeCell ref="B3:D3"/>
    <mergeCell ref="L6:M6"/>
    <mergeCell ref="N6:O6"/>
    <mergeCell ref="B5:C5"/>
    <mergeCell ref="D5:E5"/>
    <mergeCell ref="H5:I5"/>
    <mergeCell ref="H8:I8"/>
    <mergeCell ref="F5:G5"/>
    <mergeCell ref="L5:M5"/>
    <mergeCell ref="P5:P7"/>
    <mergeCell ref="N5:O5"/>
    <mergeCell ref="J29:S29"/>
    <mergeCell ref="L8:M8"/>
    <mergeCell ref="N8:O8"/>
    <mergeCell ref="F8:G8"/>
    <mergeCell ref="H11:I11"/>
    <mergeCell ref="J11:K11"/>
    <mergeCell ref="L10:M10"/>
    <mergeCell ref="N10:O10"/>
    <mergeCell ref="H12:I12"/>
    <mergeCell ref="J12:K12"/>
    <mergeCell ref="L11:M11"/>
    <mergeCell ref="J8:K8"/>
    <mergeCell ref="H6:I6"/>
    <mergeCell ref="N12:O12"/>
    <mergeCell ref="B11:C11"/>
    <mergeCell ref="J25:R25"/>
    <mergeCell ref="D11:E11"/>
    <mergeCell ref="J6:K6"/>
    <mergeCell ref="B8:C8"/>
    <mergeCell ref="B10:C10"/>
    <mergeCell ref="D12:E12"/>
    <mergeCell ref="F11:G11"/>
    <mergeCell ref="A30:H30"/>
    <mergeCell ref="D10:E10"/>
    <mergeCell ref="N11:O11"/>
    <mergeCell ref="J5:K5"/>
    <mergeCell ref="F10:G10"/>
    <mergeCell ref="H10:I10"/>
    <mergeCell ref="J10:K10"/>
    <mergeCell ref="F6:G6"/>
    <mergeCell ref="A6:A7"/>
    <mergeCell ref="H9:I9"/>
    <mergeCell ref="B12:C12"/>
    <mergeCell ref="J9:K9"/>
    <mergeCell ref="D6:E6"/>
    <mergeCell ref="F12:G12"/>
    <mergeCell ref="L12:M1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VZOR JAK VYPLNIT</vt:lpstr>
      <vt:lpstr>Zálohy</vt:lpstr>
      <vt:lpstr>Týden</vt:lpstr>
      <vt:lpstr>Týden 38</vt:lpstr>
      <vt:lpstr>Týden 39</vt:lpstr>
      <vt:lpstr>Týden 40</vt:lpstr>
      <vt:lpstr>Týden 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katerinac</dc:creator>
  <cp:lastModifiedBy>Cowley Čáp</cp:lastModifiedBy>
  <cp:lastPrinted>2020-11-13T11:31:31Z</cp:lastPrinted>
  <dcterms:created xsi:type="dcterms:W3CDTF">2020-04-24T13:50:29Z</dcterms:created>
  <dcterms:modified xsi:type="dcterms:W3CDTF">2024-10-15T20:34:18Z</dcterms:modified>
</cp:coreProperties>
</file>