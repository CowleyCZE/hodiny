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Mhod26" sheetId="1" state="visible" r:id="rId1"/>
    <sheet name="MMcash26" sheetId="2" state="visible" r:id="rId2"/>
    <sheet name="08hod25" sheetId="3" state="visible" r:id="rId3"/>
    <sheet name="08hod26" sheetId="4" state="visible" r:id="rId4"/>
    <sheet name="08cash26" sheetId="5" state="visible" r:id="rId5"/>
    <sheet name="01hod2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\ [$€-1];[Red]\-#,##0.00\ [$€-1]"/>
    <numFmt numFmtId="165" formatCode="#,##0.00\ [$Kč-405];[Red]\-#,##0.00\ [$Kč-405]"/>
    <numFmt numFmtId="166" formatCode="d/m"/>
    <numFmt numFmtId="167" formatCode="#,##0\ [$Kč-405];[Red]\-#,##0\ [$Kč-405]"/>
    <numFmt numFmtId="168" formatCode="#,##0\ [$€-1];[Red]\-#,##0\ [$€-1]"/>
    <numFmt numFmtId="169" formatCode="#,##0\ [$€-1]"/>
    <numFmt numFmtId="170" formatCode="#,##0\ [$Kč-405]"/>
    <numFmt numFmtId="171" formatCode="#,##0.00\ [$€-1]"/>
    <numFmt numFmtId="172" formatCode="#,##0.00\ [$Kč-405]"/>
    <numFmt numFmtId="173" formatCode="0\ \K\č"/>
    <numFmt numFmtId="174" formatCode="#,##0.0\ [$Kč-405]"/>
    <numFmt numFmtId="175" formatCode="#,##0.0\ [$€-1];[Red]\-#,##0.0\ [$€-1]"/>
    <numFmt numFmtId="176" formatCode="0.0"/>
  </numFmts>
  <fonts count="14">
    <font>
      <name val="Arial"/>
      <color rgb="00000000"/>
      <sz val="11"/>
      <scheme val="minor"/>
    </font>
    <font>
      <b val="1"/>
    </font>
    <font>
      <name val="Calibri"/>
      <b val="1"/>
      <i val="1"/>
      <color rgb="FFFFFFFF"/>
      <sz val="18"/>
    </font>
    <font/>
    <font>
      <name val="Calibri"/>
      <b val="1"/>
      <sz val="14"/>
    </font>
    <font>
      <name val="Calibri"/>
      <b val="1"/>
      <color rgb="FF1D1B10"/>
      <sz val="12"/>
    </font>
    <font>
      <name val="Arial"/>
      <sz val="11"/>
    </font>
    <font>
      <name val="Calibri"/>
      <sz val="11"/>
    </font>
    <font>
      <name val="Calibri"/>
      <b val="1"/>
      <i val="1"/>
      <color rgb="FFEEECE1"/>
      <sz val="14"/>
    </font>
    <font>
      <name val="Calibri"/>
      <b val="1"/>
      <color rgb="FF1D1B10"/>
      <sz val="11"/>
    </font>
    <font>
      <name val="Calibri"/>
      <color rgb="FFFFFFFF"/>
      <sz val="11"/>
      <u val="single"/>
    </font>
    <font>
      <name val="Calibri"/>
      <color rgb="FFFFFFFF"/>
      <sz val="11"/>
    </font>
    <font>
      <name val="Calibri"/>
      <strike val="1"/>
      <sz val="11"/>
    </font>
    <font>
      <name val="Calibri"/>
      <color rgb="00000000"/>
      <sz val="11"/>
    </font>
  </fonts>
  <fills count="15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494429"/>
        <bgColor rgb="FF494429"/>
      </patternFill>
    </fill>
    <fill>
      <patternFill patternType="solid">
        <fgColor rgb="FF000000"/>
        <bgColor rgb="FF000000"/>
      </patternFill>
    </fill>
    <fill>
      <patternFill patternType="solid">
        <fgColor rgb="FF938953"/>
        <bgColor rgb="FF938953"/>
      </patternFill>
    </fill>
    <fill>
      <patternFill patternType="solid">
        <fgColor rgb="FF366092"/>
        <bgColor rgb="FF366092"/>
      </patternFill>
    </fill>
    <fill>
      <patternFill patternType="solid">
        <fgColor rgb="FFDDD9C3"/>
        <bgColor rgb="FFDDD9C3"/>
      </patternFill>
    </fill>
    <fill>
      <patternFill patternType="solid">
        <fgColor rgb="FF4285F4"/>
        <bgColor rgb="FF4285F4"/>
      </patternFill>
    </fill>
    <fill>
      <patternFill patternType="solid">
        <fgColor rgb="FFEEECE1"/>
        <bgColor rgb="FFEEECE1"/>
      </patternFill>
    </fill>
    <fill>
      <patternFill patternType="solid">
        <fgColor rgb="FF548DD4"/>
        <bgColor rgb="FF548DD4"/>
      </patternFill>
    </fill>
    <fill>
      <patternFill patternType="solid">
        <fgColor rgb="FF1F497D"/>
        <bgColor rgb="FF1F497D"/>
      </patternFill>
    </fill>
    <fill>
      <patternFill patternType="solid">
        <fgColor rgb="FF8DB3E2"/>
        <bgColor rgb="FF8DB3E2"/>
      </patternFill>
    </fill>
    <fill>
      <patternFill patternType="solid">
        <fgColor rgb="FFFFE6E6"/>
        <bgColor rgb="FFFFE6E6"/>
      </patternFill>
    </fill>
    <fill>
      <patternFill patternType="solid">
        <fgColor rgb="00FFE6E6"/>
      </patternFill>
    </fill>
  </fills>
  <borders count="44">
    <border/>
    <border>
      <left/>
      <right/>
      <top/>
      <bottom/>
    </border>
    <border>
      <left style="medium">
        <color rgb="FFFFFFFF"/>
      </left>
      <top style="medium">
        <color rgb="FFFFFFFF"/>
      </top>
    </border>
    <border>
      <top style="medium">
        <color rgb="FFFFFFFF"/>
      </top>
    </border>
    <border>
      <right style="medium">
        <color rgb="FFFFFFFF"/>
      </right>
      <top style="medium">
        <color rgb="FFFFFFFF"/>
      </top>
    </border>
    <border>
      <top style="medium">
        <color rgb="FFFFFFFF"/>
      </top>
      <bottom style="medium">
        <color rgb="FFFFFFFF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thick">
        <color rgb="FFFFFFFF"/>
      </left>
      <bottom style="thick">
        <color rgb="FFFFFFFF"/>
      </bottom>
    </border>
    <border>
      <bottom style="thick">
        <color rgb="FFFFFFFF"/>
      </bottom>
    </border>
    <border>
      <right style="thick">
        <color rgb="FFFFFFFF"/>
      </right>
      <bottom style="thick">
        <color rgb="FFFFFFFF"/>
      </bottom>
    </border>
    <border>
      <right style="thin">
        <color rgb="FF505050"/>
      </right>
      <bottom style="medium">
        <color rgb="FF505050"/>
      </bottom>
    </border>
    <border>
      <right style="medium">
        <color rgb="FF505050"/>
      </right>
      <bottom style="medium">
        <color rgb="FF505050"/>
      </bottom>
    </border>
    <border>
      <left style="medium">
        <color rgb="FF000000"/>
      </left>
      <right style="dotted">
        <color rgb="FFFFFFFF"/>
      </right>
      <bottom style="hair">
        <color rgb="FFFFFFFF"/>
      </bottom>
    </border>
    <border>
      <right style="dotted">
        <color rgb="FFFFFFFF"/>
      </right>
      <bottom style="hair">
        <color rgb="FFFFFFFF"/>
      </bottom>
    </border>
    <border>
      <right style="thick">
        <color rgb="FF000000"/>
      </right>
      <bottom style="hair">
        <color rgb="FFFFFFFF"/>
      </bottom>
    </border>
    <border>
      <right style="thin">
        <color rgb="FF505050"/>
      </right>
    </border>
    <border>
      <right style="medium">
        <color rgb="FF505050"/>
      </right>
    </border>
    <border>
      <right style="thin">
        <color rgb="FF505050"/>
      </right>
      <bottom style="medium">
        <color rgb="FF000000"/>
      </bottom>
    </border>
    <border>
      <right style="medium">
        <color rgb="FF505050"/>
      </right>
      <bottom style="medium">
        <color rgb="FF000000"/>
      </bottom>
    </border>
    <border>
      <bottom style="hair">
        <color rgb="FFFFFFFF"/>
      </bottom>
    </border>
    <border>
      <bottom style="medium">
        <color rgb="FF000000"/>
      </bottom>
    </border>
    <border>
      <bottom style="medium">
        <color rgb="FF505050"/>
      </bottom>
    </border>
    <border>
      <right style="thin">
        <color rgb="FF505050"/>
      </right>
      <bottom style="thin">
        <color rgb="FF505050"/>
      </bottom>
    </border>
    <border>
      <right style="medium">
        <color rgb="FF505050"/>
      </right>
      <bottom style="thin">
        <color rgb="FF505050"/>
      </bottom>
    </border>
    <border>
      <left style="medium">
        <color rgb="FF000000"/>
      </left>
      <right style="thin">
        <color rgb="FF000000"/>
      </right>
      <bottom style="hair">
        <color rgb="FFFFFFFF"/>
      </bottom>
    </border>
    <border>
      <right style="medium">
        <color rgb="FF000000"/>
      </right>
      <bottom style="hair">
        <color rgb="FFFFFFFF"/>
      </bottom>
    </border>
    <border>
      <right style="thin">
        <color rgb="FFFFFFFF"/>
      </right>
      <bottom style="hair">
        <color rgb="FFFFFFFF"/>
      </bottom>
    </border>
    <border>
      <right style="thin">
        <color rgb="FF000000"/>
      </right>
      <bottom style="hair">
        <color rgb="FFFFFFFF"/>
      </bottom>
    </border>
    <border>
      <right style="medium">
        <color rgb="FFFFFFFF"/>
      </right>
      <bottom style="hair">
        <color rgb="FFFFFFFF"/>
      </bottom>
    </border>
    <border>
      <right style="hair">
        <color rgb="FFFFFFFF"/>
      </right>
      <bottom style="hair">
        <color rgb="FFFFFFFF"/>
      </bottom>
    </border>
    <border>
      <left style="medium">
        <color rgb="FF000000"/>
      </left>
      <right style="dotted">
        <color rgb="FFFFFFFF"/>
      </right>
    </border>
    <border>
      <right style="dotted">
        <color rgb="FFFFFFFF"/>
      </right>
    </border>
    <border>
      <right style="thick">
        <color rgb="FF000000"/>
      </right>
    </border>
    <border>
      <right style="dotted">
        <color rgb="FFFFFFFF"/>
      </right>
      <bottom style="medium">
        <color rgb="FF000000"/>
      </bottom>
    </border>
    <border>
      <right style="dotted">
        <color rgb="FFFFFFFF"/>
      </right>
      <bottom style="thin">
        <color rgb="FF000000"/>
      </bottom>
    </border>
    <border>
      <right style="thick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thick">
        <color rgb="FF000000"/>
      </right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2" borderId="1" pivotButton="0" quotePrefix="0" xfId="0"/>
    <xf numFmtId="0" fontId="2" fillId="3" borderId="2" applyAlignment="1" pivotButton="0" quotePrefix="0" xfId="0">
      <alignment horizontal="center"/>
    </xf>
    <xf numFmtId="0" fontId="3" fillId="0" borderId="3" pivotButton="0" quotePrefix="0" xfId="0"/>
    <xf numFmtId="0" fontId="2" fillId="3" borderId="3" applyAlignment="1" pivotButton="0" quotePrefix="0" xfId="0">
      <alignment horizontal="center"/>
    </xf>
    <xf numFmtId="0" fontId="3" fillId="0" borderId="4" pivotButton="0" quotePrefix="0" xfId="0"/>
    <xf numFmtId="0" fontId="2" fillId="3" borderId="5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  <xf numFmtId="0" fontId="4" fillId="4" borderId="7" applyAlignment="1" pivotButton="0" quotePrefix="0" xfId="0">
      <alignment horizontal="center"/>
    </xf>
    <xf numFmtId="0" fontId="4" fillId="4" borderId="8" applyAlignment="1" pivotButton="0" quotePrefix="0" xfId="0">
      <alignment horizontal="center"/>
    </xf>
    <xf numFmtId="0" fontId="4" fillId="4" borderId="9" applyAlignment="1" pivotButton="0" quotePrefix="0" xfId="0">
      <alignment horizontal="center"/>
    </xf>
    <xf numFmtId="164" fontId="4" fillId="4" borderId="8" applyAlignment="1" pivotButton="0" quotePrefix="0" xfId="0">
      <alignment horizontal="center"/>
    </xf>
    <xf numFmtId="0" fontId="5" fillId="5" borderId="10" applyAlignment="1" pivotButton="0" quotePrefix="0" xfId="0">
      <alignment horizontal="center"/>
    </xf>
    <xf numFmtId="0" fontId="5" fillId="5" borderId="11" applyAlignment="1" pivotButton="0" quotePrefix="0" xfId="0">
      <alignment horizontal="center"/>
    </xf>
    <xf numFmtId="165" fontId="6" fillId="6" borderId="12" pivotButton="0" quotePrefix="0" xfId="0"/>
    <xf numFmtId="166" fontId="6" fillId="6" borderId="13" pivotButton="0" quotePrefix="0" xfId="0"/>
    <xf numFmtId="165" fontId="6" fillId="6" borderId="14" pivotButton="0" quotePrefix="0" xfId="0"/>
    <xf numFmtId="164" fontId="6" fillId="6" borderId="13" pivotButton="0" quotePrefix="0" xfId="0"/>
    <xf numFmtId="164" fontId="6" fillId="6" borderId="14" pivotButton="0" quotePrefix="0" xfId="0"/>
    <xf numFmtId="167" fontId="6" fillId="6" borderId="13" pivotButton="0" quotePrefix="0" xfId="0"/>
    <xf numFmtId="0" fontId="6" fillId="6" borderId="13" pivotButton="0" quotePrefix="0" xfId="0"/>
    <xf numFmtId="168" fontId="7" fillId="6" borderId="13" applyAlignment="1" pivotButton="0" quotePrefix="0" xfId="0">
      <alignment horizontal="center"/>
    </xf>
    <xf numFmtId="167" fontId="7" fillId="6" borderId="14" applyAlignment="1" pivotButton="0" quotePrefix="0" xfId="0">
      <alignment horizontal="center"/>
    </xf>
    <xf numFmtId="168" fontId="6" fillId="6" borderId="13" pivotButton="0" quotePrefix="0" xfId="0"/>
    <xf numFmtId="166" fontId="6" fillId="6" borderId="14" pivotButton="0" quotePrefix="0" xfId="0"/>
    <xf numFmtId="169" fontId="6" fillId="6" borderId="13" pivotButton="0" quotePrefix="0" xfId="0"/>
    <xf numFmtId="165" fontId="6" fillId="6" borderId="13" pivotButton="0" quotePrefix="0" xfId="0"/>
    <xf numFmtId="168" fontId="6" fillId="6" borderId="14" pivotButton="0" quotePrefix="0" xfId="0"/>
    <xf numFmtId="170" fontId="7" fillId="7" borderId="15" applyAlignment="1" pivotButton="0" quotePrefix="0" xfId="0">
      <alignment horizontal="center"/>
    </xf>
    <xf numFmtId="169" fontId="7" fillId="7" borderId="16" applyAlignment="1" pivotButton="0" quotePrefix="0" xfId="0">
      <alignment horizontal="center"/>
    </xf>
    <xf numFmtId="170" fontId="7" fillId="7" borderId="17" applyAlignment="1" pivotButton="0" quotePrefix="0" xfId="0">
      <alignment horizontal="center"/>
    </xf>
    <xf numFmtId="169" fontId="7" fillId="7" borderId="18" applyAlignment="1" pivotButton="0" quotePrefix="0" xfId="0">
      <alignment horizontal="center"/>
    </xf>
    <xf numFmtId="167" fontId="6" fillId="8" borderId="12" pivotButton="0" quotePrefix="0" xfId="0"/>
    <xf numFmtId="166" fontId="6" fillId="8" borderId="13" pivotButton="0" quotePrefix="0" xfId="0"/>
    <xf numFmtId="165" fontId="6" fillId="8" borderId="14" pivotButton="0" quotePrefix="0" xfId="0"/>
    <xf numFmtId="164" fontId="6" fillId="8" borderId="13" pivotButton="0" quotePrefix="0" xfId="0"/>
    <xf numFmtId="164" fontId="6" fillId="8" borderId="14" pivotButton="0" quotePrefix="0" xfId="0"/>
    <xf numFmtId="167" fontId="6" fillId="8" borderId="13" pivotButton="0" quotePrefix="0" xfId="0"/>
    <xf numFmtId="0" fontId="6" fillId="8" borderId="13" pivotButton="0" quotePrefix="0" xfId="0"/>
    <xf numFmtId="168" fontId="6" fillId="8" borderId="13" pivotButton="0" quotePrefix="0" xfId="0"/>
    <xf numFmtId="166" fontId="6" fillId="8" borderId="14" pivotButton="0" quotePrefix="0" xfId="0"/>
    <xf numFmtId="169" fontId="6" fillId="8" borderId="13" pivotButton="0" quotePrefix="0" xfId="0"/>
    <xf numFmtId="165" fontId="6" fillId="8" borderId="13" pivotButton="0" quotePrefix="0" xfId="0"/>
    <xf numFmtId="168" fontId="6" fillId="8" borderId="19" pivotButton="0" quotePrefix="0" xfId="0"/>
    <xf numFmtId="0" fontId="8" fillId="3" borderId="20" applyAlignment="1" pivotButton="0" quotePrefix="0" xfId="0">
      <alignment horizontal="center"/>
    </xf>
    <xf numFmtId="0" fontId="3" fillId="0" borderId="20" pivotButton="0" quotePrefix="0" xfId="0"/>
    <xf numFmtId="0" fontId="8" fillId="3" borderId="21" applyAlignment="1" pivotButton="0" quotePrefix="0" xfId="0">
      <alignment horizontal="center"/>
    </xf>
    <xf numFmtId="0" fontId="3" fillId="0" borderId="11" pivotButton="0" quotePrefix="0" xfId="0"/>
    <xf numFmtId="167" fontId="6" fillId="6" borderId="12" pivotButton="0" quotePrefix="0" xfId="0"/>
    <xf numFmtId="0" fontId="5" fillId="5" borderId="15" applyAlignment="1" pivotButton="0" quotePrefix="0" xfId="0">
      <alignment horizontal="center"/>
    </xf>
    <xf numFmtId="0" fontId="5" fillId="5" borderId="16" applyAlignment="1" pivotButton="0" quotePrefix="0" xfId="0">
      <alignment horizontal="center"/>
    </xf>
    <xf numFmtId="171" fontId="6" fillId="8" borderId="13" pivotButton="0" quotePrefix="0" xfId="0"/>
    <xf numFmtId="168" fontId="6" fillId="8" borderId="14" pivotButton="0" quotePrefix="0" xfId="0"/>
    <xf numFmtId="170" fontId="7" fillId="7" borderId="10" applyAlignment="1" pivotButton="0" quotePrefix="0" xfId="0">
      <alignment horizontal="center"/>
    </xf>
    <xf numFmtId="169" fontId="7" fillId="7" borderId="11" applyAlignment="1" pivotButton="0" quotePrefix="0" xfId="0">
      <alignment horizontal="center"/>
    </xf>
    <xf numFmtId="0" fontId="8" fillId="3" borderId="10" applyAlignment="1" pivotButton="0" quotePrefix="1" xfId="0">
      <alignment horizontal="center"/>
    </xf>
    <xf numFmtId="0" fontId="8" fillId="3" borderId="11" applyAlignment="1" pivotButton="0" quotePrefix="1" xfId="0">
      <alignment horizontal="center"/>
    </xf>
    <xf numFmtId="0" fontId="6" fillId="0" borderId="0" applyAlignment="1" pivotButton="0" quotePrefix="0" xfId="0">
      <alignment vertical="bottom"/>
    </xf>
    <xf numFmtId="169" fontId="7" fillId="7" borderId="22" applyAlignment="1" pivotButton="0" quotePrefix="0" xfId="0">
      <alignment horizontal="center"/>
    </xf>
    <xf numFmtId="169" fontId="7" fillId="7" borderId="23" applyAlignment="1" pivotButton="0" quotePrefix="0" xfId="0">
      <alignment horizontal="center"/>
    </xf>
    <xf numFmtId="168" fontId="6" fillId="6" borderId="19" pivotButton="0" quotePrefix="0" xfId="0"/>
    <xf numFmtId="169" fontId="7" fillId="9" borderId="21" applyAlignment="1" pivotButton="0" quotePrefix="0" xfId="0">
      <alignment horizontal="center"/>
    </xf>
    <xf numFmtId="167" fontId="6" fillId="8" borderId="24" pivotButton="0" quotePrefix="0" xfId="0"/>
    <xf numFmtId="165" fontId="6" fillId="8" borderId="25" pivotButton="0" quotePrefix="0" xfId="0"/>
    <xf numFmtId="164" fontId="6" fillId="8" borderId="26" pivotButton="0" quotePrefix="0" xfId="0"/>
    <xf numFmtId="164" fontId="6" fillId="8" borderId="25" pivotButton="0" quotePrefix="0" xfId="0"/>
    <xf numFmtId="164" fontId="6" fillId="8" borderId="27" pivotButton="0" quotePrefix="0" xfId="0"/>
    <xf numFmtId="164" fontId="6" fillId="8" borderId="28" pivotButton="0" quotePrefix="0" xfId="0"/>
    <xf numFmtId="167" fontId="6" fillId="8" borderId="26" pivotButton="0" quotePrefix="0" xfId="0"/>
    <xf numFmtId="166" fontId="6" fillId="8" borderId="25" pivotButton="0" quotePrefix="0" xfId="0"/>
    <xf numFmtId="166" fontId="6" fillId="8" borderId="29" pivotButton="0" quotePrefix="0" xfId="0"/>
    <xf numFmtId="165" fontId="6" fillId="8" borderId="27" pivotButton="0" quotePrefix="0" xfId="0"/>
    <xf numFmtId="168" fontId="6" fillId="8" borderId="29" pivotButton="0" quotePrefix="0" xfId="0"/>
    <xf numFmtId="167" fontId="6" fillId="6" borderId="24" pivotButton="0" quotePrefix="0" xfId="0"/>
    <xf numFmtId="165" fontId="6" fillId="6" borderId="25" pivotButton="0" quotePrefix="0" xfId="0"/>
    <xf numFmtId="164" fontId="6" fillId="6" borderId="26" pivotButton="0" quotePrefix="0" xfId="0"/>
    <xf numFmtId="164" fontId="6" fillId="6" borderId="25" pivotButton="0" quotePrefix="0" xfId="0"/>
    <xf numFmtId="164" fontId="6" fillId="6" borderId="27" pivotButton="0" quotePrefix="0" xfId="0"/>
    <xf numFmtId="164" fontId="6" fillId="6" borderId="28" pivotButton="0" quotePrefix="0" xfId="0"/>
    <xf numFmtId="167" fontId="6" fillId="6" borderId="26" pivotButton="0" quotePrefix="0" xfId="0"/>
    <xf numFmtId="171" fontId="6" fillId="6" borderId="13" pivotButton="0" quotePrefix="0" xfId="0"/>
    <xf numFmtId="166" fontId="6" fillId="6" borderId="25" pivotButton="0" quotePrefix="0" xfId="0"/>
    <xf numFmtId="166" fontId="6" fillId="6" borderId="29" pivotButton="0" quotePrefix="0" xfId="0"/>
    <xf numFmtId="165" fontId="6" fillId="6" borderId="27" pivotButton="0" quotePrefix="0" xfId="0"/>
    <xf numFmtId="166" fontId="6" fillId="8" borderId="27" pivotButton="0" quotePrefix="0" xfId="0"/>
    <xf numFmtId="14" fontId="6" fillId="0" borderId="0" applyAlignment="1" pivotButton="0" quotePrefix="0" xfId="0">
      <alignment vertical="bottom"/>
    </xf>
    <xf numFmtId="171" fontId="6" fillId="0" borderId="0" applyAlignment="1" pivotButton="0" quotePrefix="0" xfId="0">
      <alignment vertical="bottom"/>
    </xf>
    <xf numFmtId="172" fontId="6" fillId="0" borderId="0" applyAlignment="1" pivotButton="0" quotePrefix="0" xfId="0">
      <alignment vertical="bottom"/>
    </xf>
    <xf numFmtId="0" fontId="4" fillId="6" borderId="19" applyAlignment="1" pivotButton="0" quotePrefix="0" xfId="0">
      <alignment horizontal="center"/>
    </xf>
    <xf numFmtId="166" fontId="4" fillId="6" borderId="14" applyAlignment="1" pivotButton="0" quotePrefix="0" xfId="0">
      <alignment horizontal="center"/>
    </xf>
    <xf numFmtId="165" fontId="6" fillId="8" borderId="12" pivotButton="0" quotePrefix="0" xfId="0"/>
    <xf numFmtId="165" fontId="6" fillId="8" borderId="24" pivotButton="0" quotePrefix="0" xfId="0"/>
    <xf numFmtId="0" fontId="4" fillId="8" borderId="19" applyAlignment="1" pivotButton="0" quotePrefix="0" xfId="0">
      <alignment horizontal="center"/>
    </xf>
    <xf numFmtId="166" fontId="4" fillId="8" borderId="14" applyAlignment="1" pivotButton="0" quotePrefix="0" xfId="0">
      <alignment horizontal="center"/>
    </xf>
    <xf numFmtId="165" fontId="6" fillId="6" borderId="24" pivotButton="0" quotePrefix="0" xfId="0"/>
    <xf numFmtId="171" fontId="6" fillId="6" borderId="19" pivotButton="0" quotePrefix="0" xfId="0"/>
    <xf numFmtId="168" fontId="6" fillId="6" borderId="29" pivotButton="0" quotePrefix="0" xfId="0"/>
    <xf numFmtId="0" fontId="6" fillId="0" borderId="0" pivotButton="0" quotePrefix="0" xfId="0"/>
    <xf numFmtId="165" fontId="6" fillId="8" borderId="30" pivotButton="0" quotePrefix="0" xfId="0"/>
    <xf numFmtId="166" fontId="6" fillId="8" borderId="31" pivotButton="0" quotePrefix="0" xfId="0"/>
    <xf numFmtId="165" fontId="6" fillId="8" borderId="32" pivotButton="0" quotePrefix="0" xfId="0"/>
    <xf numFmtId="164" fontId="6" fillId="8" borderId="33" pivotButton="0" quotePrefix="0" xfId="0"/>
    <xf numFmtId="166" fontId="6" fillId="8" borderId="34" pivotButton="0" quotePrefix="0" xfId="0"/>
    <xf numFmtId="164" fontId="6" fillId="8" borderId="35" pivotButton="0" quotePrefix="0" xfId="0"/>
    <xf numFmtId="164" fontId="6" fillId="8" borderId="31" pivotButton="0" quotePrefix="0" xfId="0"/>
    <xf numFmtId="164" fontId="6" fillId="8" borderId="32" pivotButton="0" quotePrefix="0" xfId="0"/>
    <xf numFmtId="166" fontId="6" fillId="8" borderId="33" pivotButton="0" quotePrefix="0" xfId="0"/>
    <xf numFmtId="167" fontId="6" fillId="8" borderId="31" pivotButton="0" quotePrefix="0" xfId="0"/>
    <xf numFmtId="0" fontId="6" fillId="8" borderId="31" pivotButton="0" quotePrefix="0" xfId="0"/>
    <xf numFmtId="165" fontId="6" fillId="8" borderId="35" pivotButton="0" quotePrefix="0" xfId="0"/>
    <xf numFmtId="168" fontId="6" fillId="8" borderId="31" pivotButton="0" quotePrefix="0" xfId="0"/>
    <xf numFmtId="166" fontId="6" fillId="8" borderId="32" pivotButton="0" quotePrefix="0" xfId="0"/>
    <xf numFmtId="171" fontId="6" fillId="8" borderId="31" pivotButton="0" quotePrefix="0" xfId="0"/>
    <xf numFmtId="165" fontId="6" fillId="8" borderId="31" pivotButton="0" quotePrefix="0" xfId="0"/>
    <xf numFmtId="168" fontId="6" fillId="8" borderId="32" pivotButton="0" quotePrefix="0" xfId="0"/>
    <xf numFmtId="0" fontId="9" fillId="5" borderId="36" applyAlignment="1" pivotButton="0" quotePrefix="0" xfId="0">
      <alignment horizontal="center"/>
    </xf>
    <xf numFmtId="0" fontId="3" fillId="0" borderId="32" pivotButton="0" quotePrefix="0" xfId="0"/>
    <xf numFmtId="0" fontId="9" fillId="5" borderId="17" applyAlignment="1" pivotButton="0" quotePrefix="0" xfId="0">
      <alignment horizontal="center"/>
    </xf>
    <xf numFmtId="0" fontId="9" fillId="5" borderId="2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173" fontId="9" fillId="5" borderId="0" applyAlignment="1" pivotButton="0" quotePrefix="0" xfId="0">
      <alignment horizontal="center"/>
    </xf>
    <xf numFmtId="172" fontId="7" fillId="10" borderId="37" applyAlignment="1" pivotButton="0" quotePrefix="0" xfId="0">
      <alignment horizontal="center"/>
    </xf>
    <xf numFmtId="174" fontId="6" fillId="10" borderId="38" pivotButton="0" quotePrefix="0" xfId="0"/>
    <xf numFmtId="170" fontId="7" fillId="10" borderId="32" applyAlignment="1" pivotButton="0" quotePrefix="0" xfId="0">
      <alignment horizontal="center"/>
    </xf>
    <xf numFmtId="164" fontId="7" fillId="10" borderId="38" applyAlignment="1" pivotButton="0" quotePrefix="0" xfId="0">
      <alignment horizontal="center"/>
    </xf>
    <xf numFmtId="175" fontId="7" fillId="10" borderId="38" applyAlignment="1" pivotButton="0" quotePrefix="0" xfId="0">
      <alignment horizontal="center"/>
    </xf>
    <xf numFmtId="164" fontId="7" fillId="10" borderId="32" applyAlignment="1" pivotButton="0" quotePrefix="0" xfId="0">
      <alignment horizontal="center"/>
    </xf>
    <xf numFmtId="175" fontId="7" fillId="10" borderId="32" applyAlignment="1" pivotButton="0" quotePrefix="0" xfId="0">
      <alignment horizontal="center"/>
    </xf>
    <xf numFmtId="175" fontId="6" fillId="10" borderId="38" pivotButton="0" quotePrefix="0" xfId="0"/>
    <xf numFmtId="167" fontId="7" fillId="10" borderId="38" applyAlignment="1" pivotButton="0" quotePrefix="0" xfId="0">
      <alignment horizontal="center"/>
    </xf>
    <xf numFmtId="168" fontId="10" fillId="11" borderId="38" applyAlignment="1" pivotButton="0" quotePrefix="0" xfId="0">
      <alignment horizontal="center"/>
    </xf>
    <xf numFmtId="0" fontId="11" fillId="11" borderId="32" applyAlignment="1" pivotButton="0" quotePrefix="0" xfId="0">
      <alignment horizontal="center"/>
    </xf>
    <xf numFmtId="0" fontId="6" fillId="12" borderId="37" pivotButton="0" quotePrefix="0" xfId="0"/>
    <xf numFmtId="0" fontId="6" fillId="12" borderId="38" pivotButton="0" quotePrefix="0" xfId="0"/>
    <xf numFmtId="0" fontId="6" fillId="12" borderId="32" pivotButton="0" quotePrefix="0" xfId="0"/>
    <xf numFmtId="164" fontId="7" fillId="12" borderId="38" applyAlignment="1" pivotButton="0" quotePrefix="0" xfId="0">
      <alignment horizontal="center"/>
    </xf>
    <xf numFmtId="164" fontId="6" fillId="12" borderId="32" pivotButton="0" quotePrefix="0" xfId="0"/>
    <xf numFmtId="169" fontId="12" fillId="12" borderId="38" applyAlignment="1" pivotButton="0" quotePrefix="0" xfId="0">
      <alignment horizontal="center"/>
    </xf>
    <xf numFmtId="0" fontId="7" fillId="12" borderId="32" applyAlignment="1" pivotButton="0" quotePrefix="0" xfId="0">
      <alignment horizontal="center"/>
    </xf>
    <xf numFmtId="169" fontId="12" fillId="10" borderId="39" applyAlignment="1" pivotButton="0" quotePrefix="0" xfId="0">
      <alignment horizontal="center"/>
    </xf>
    <xf numFmtId="0" fontId="6" fillId="10" borderId="40" pivotButton="0" quotePrefix="0" xfId="0"/>
    <xf numFmtId="0" fontId="6" fillId="10" borderId="39" pivotButton="0" quotePrefix="0" xfId="0"/>
    <xf numFmtId="0" fontId="6" fillId="10" borderId="41" pivotButton="0" quotePrefix="0" xfId="0"/>
    <xf numFmtId="169" fontId="7" fillId="10" borderId="39" applyAlignment="1" pivotButton="0" quotePrefix="0" xfId="0">
      <alignment horizontal="center"/>
    </xf>
    <xf numFmtId="0" fontId="7" fillId="10" borderId="41" applyAlignment="1" pivotButton="0" quotePrefix="0" xfId="0">
      <alignment horizontal="center"/>
    </xf>
    <xf numFmtId="169" fontId="6" fillId="10" borderId="39" pivotButton="0" quotePrefix="0" xfId="0"/>
    <xf numFmtId="168" fontId="7" fillId="10" borderId="39" applyAlignment="1" pivotButton="0" quotePrefix="0" xfId="0">
      <alignment horizontal="center"/>
    </xf>
    <xf numFmtId="168" fontId="6" fillId="0" borderId="0" applyAlignment="1" pivotButton="0" quotePrefix="0" xfId="0">
      <alignment vertical="bottom"/>
    </xf>
    <xf numFmtId="170" fontId="6" fillId="0" borderId="0" pivotButton="0" quotePrefix="0" xfId="0"/>
    <xf numFmtId="168" fontId="6" fillId="0" borderId="0" pivotButton="0" quotePrefix="0" xfId="0"/>
    <xf numFmtId="0" fontId="6" fillId="0" borderId="42" applyAlignment="1" pivotButton="0" quotePrefix="0" xfId="0">
      <alignment vertical="bottom"/>
    </xf>
    <xf numFmtId="167" fontId="6" fillId="0" borderId="0" applyAlignment="1" pivotButton="0" quotePrefix="0" xfId="0">
      <alignment vertical="bottom"/>
    </xf>
    <xf numFmtId="168" fontId="11" fillId="11" borderId="42" applyAlignment="1" pivotButton="0" quotePrefix="0" xfId="0">
      <alignment horizontal="center"/>
    </xf>
    <xf numFmtId="0" fontId="13" fillId="13" borderId="1" pivotButton="0" quotePrefix="0" xfId="0"/>
    <xf numFmtId="21" fontId="13" fillId="0" borderId="0" pivotButton="0" quotePrefix="0" xfId="0"/>
    <xf numFmtId="176" fontId="13" fillId="0" borderId="0" pivotButton="0" quotePrefix="0" xfId="0"/>
    <xf numFmtId="21" fontId="3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2" fillId="3" borderId="4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2" fillId="3" borderId="6" applyAlignment="1" pivotButton="0" quotePrefix="0" xfId="0">
      <alignment horizontal="center"/>
    </xf>
    <xf numFmtId="0" fontId="0" fillId="0" borderId="6" pivotButton="0" quotePrefix="0" xfId="0"/>
    <xf numFmtId="0" fontId="0" fillId="0" borderId="2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169" fontId="7" fillId="9" borderId="11" applyAlignment="1" pivotButton="0" quotePrefix="0" xfId="0">
      <alignment horizontal="center"/>
    </xf>
    <xf numFmtId="0" fontId="9" fillId="5" borderId="43" applyAlignment="1" pivotButton="0" quotePrefix="0" xfId="0">
      <alignment horizontal="center"/>
    </xf>
    <xf numFmtId="0" fontId="0" fillId="0" borderId="32" pivotButton="0" quotePrefix="0" xfId="0"/>
    <xf numFmtId="0" fontId="9" fillId="5" borderId="32" applyAlignment="1" pivotButton="0" quotePrefix="0" xfId="0">
      <alignment horizontal="center"/>
    </xf>
    <xf numFmtId="173" fontId="9" fillId="5" borderId="32" applyAlignment="1" pivotButton="0" quotePrefix="0" xfId="0">
      <alignment horizontal="center"/>
    </xf>
    <xf numFmtId="21" fontId="0" fillId="0" borderId="0" pivotButton="0" quotePrefix="0" xfId="0"/>
    <xf numFmtId="176" fontId="0" fillId="0" borderId="0" pivotButton="0" quotePrefix="0" xfId="0"/>
    <xf numFmtId="0" fontId="0" fillId="14" borderId="0" applyAlignment="1" pivotButton="0" quotePrefix="0" xfId="0">
      <alignment vertical="bottom"/>
    </xf>
    <xf numFmtId="0" fontId="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[Měsíc]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H4" s="0">
        <f>IF(AND(E4&lt;&gt;"",G4&lt;&gt;""),(G4-E4)*24-F4,0)</f>
        <v/>
      </c>
      <c r="I4" s="0">
        <f>MAX(0,H4-8)</f>
        <v/>
      </c>
      <c r="N4" s="0">
        <f>H4*M4</f>
        <v/>
      </c>
    </row>
    <row r="5">
      <c r="A5" s="0" t="n">
        <v>3</v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Sloupec1</t>
        </is>
      </c>
      <c r="R2" s="12" t="inlineStr">
        <is>
          <t xml:space="preserve"> Datum</t>
        </is>
      </c>
      <c r="S2" s="13" t="inlineStr">
        <is>
          <t>Sloupec2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/>
      <c r="E3" s="17" t="n"/>
      <c r="F3" s="20" t="n"/>
      <c r="G3" s="19" t="n"/>
      <c r="H3" s="20" t="n"/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/>
      <c r="R3" s="26" t="n"/>
      <c r="S3" s="25" t="n"/>
      <c r="T3" s="26" t="n"/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/>
      <c r="R4" s="42" t="n"/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/>
      <c r="R5" s="26" t="n"/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/>
      <c r="R6" s="42" t="n"/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01.08.2025</t>
        </is>
      </c>
      <c r="C3" s="0" t="inlineStr">
        <is>
          <t>Pá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155" t="n">
        <v>2</v>
      </c>
      <c r="B4" s="155" t="inlineStr">
        <is>
          <t>02.08.2025</t>
        </is>
      </c>
      <c r="C4" s="155" t="inlineStr">
        <is>
          <t>So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155" t="n">
        <v>3</v>
      </c>
      <c r="B5" s="155" t="inlineStr">
        <is>
          <t>03.08.2025</t>
        </is>
      </c>
      <c r="C5" s="155" t="inlineStr">
        <is>
          <t>Ne</t>
        </is>
      </c>
      <c r="D5" s="155" t="n"/>
      <c r="E5" s="155" t="n"/>
      <c r="F5" s="155" t="n"/>
      <c r="G5" s="155" t="n"/>
      <c r="H5" s="155">
        <f>IF(AND(E5&lt;&gt;"",G5&lt;&gt;""),(G5-E5)*24-F5,0)</f>
        <v/>
      </c>
      <c r="I5" s="155">
        <f>MAX(0,H5-8)</f>
        <v/>
      </c>
      <c r="J5" s="155" t="n"/>
      <c r="K5" s="155" t="n"/>
      <c r="L5" s="155" t="n"/>
      <c r="M5" s="155" t="n"/>
      <c r="N5" s="155">
        <f>H5*M5</f>
        <v/>
      </c>
    </row>
    <row r="6">
      <c r="A6" s="0" t="n">
        <v>4</v>
      </c>
      <c r="B6" s="0" t="inlineStr">
        <is>
          <t>04.08.2025</t>
        </is>
      </c>
      <c r="C6" s="0" t="inlineStr">
        <is>
          <t>Po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05.08.2025</t>
        </is>
      </c>
      <c r="C7" s="0" t="inlineStr">
        <is>
          <t>Út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06.08.2025</t>
        </is>
      </c>
      <c r="C8" s="0" t="inlineStr">
        <is>
          <t>St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07.08.2025</t>
        </is>
      </c>
      <c r="C9" s="0" t="inlineStr">
        <is>
          <t>Čt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08.08.2025</t>
        </is>
      </c>
      <c r="C10" s="0" t="inlineStr">
        <is>
          <t>Pá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155" t="n">
        <v>9</v>
      </c>
      <c r="B11" s="155" t="inlineStr">
        <is>
          <t>09.08.2025</t>
        </is>
      </c>
      <c r="C11" s="155" t="inlineStr">
        <is>
          <t>So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155" t="n">
        <v>10</v>
      </c>
      <c r="B12" s="155" t="inlineStr">
        <is>
          <t>10.08.2025</t>
        </is>
      </c>
      <c r="C12" s="155" t="inlineStr">
        <is>
          <t>Ne</t>
        </is>
      </c>
      <c r="D12" s="155" t="n"/>
      <c r="E12" s="155" t="n"/>
      <c r="F12" s="155" t="n"/>
      <c r="G12" s="155" t="n"/>
      <c r="H12" s="155">
        <f>IF(AND(E12&lt;&gt;"",G12&lt;&gt;""),(G12-E12)*24-F12,0)</f>
        <v/>
      </c>
      <c r="I12" s="155">
        <f>MAX(0,H12-8)</f>
        <v/>
      </c>
      <c r="J12" s="155" t="n"/>
      <c r="K12" s="155" t="n"/>
      <c r="L12" s="155" t="n"/>
      <c r="M12" s="155" t="n"/>
      <c r="N12" s="155">
        <f>H12*M12</f>
        <v/>
      </c>
    </row>
    <row r="13">
      <c r="A13" s="0" t="n">
        <v>11</v>
      </c>
      <c r="B13" s="0" t="inlineStr">
        <is>
          <t>11.08.2025</t>
        </is>
      </c>
      <c r="C13" s="0" t="inlineStr">
        <is>
          <t>Po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12.08.2025</t>
        </is>
      </c>
      <c r="C14" s="0" t="inlineStr">
        <is>
          <t>Út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13.08.2025</t>
        </is>
      </c>
      <c r="C15" s="0" t="inlineStr">
        <is>
          <t>St</t>
        </is>
      </c>
      <c r="E15" s="174" t="n">
        <v>0.3333333333333333</v>
      </c>
      <c r="F15" s="175" t="n">
        <v>1</v>
      </c>
      <c r="G15" s="174" t="n">
        <v>0.6875</v>
      </c>
      <c r="H15" s="0">
        <f>IF(AND(E15&lt;&gt;"",G15&lt;&gt;""),(G15-E15)*24-F15,0)</f>
        <v/>
      </c>
      <c r="I15" s="0">
        <f>MAX(0,H15-8)</f>
        <v/>
      </c>
      <c r="M15" s="0" t="n">
        <v>5</v>
      </c>
      <c r="N15" s="0">
        <f>H15*M15</f>
        <v/>
      </c>
    </row>
    <row r="16">
      <c r="A16" s="0" t="n">
        <v>14</v>
      </c>
      <c r="B16" s="0" t="inlineStr">
        <is>
          <t>14.08.2025</t>
        </is>
      </c>
      <c r="C16" s="0" t="inlineStr">
        <is>
          <t>Čt</t>
        </is>
      </c>
      <c r="E16" s="174" t="n">
        <v>0.2916666666666667</v>
      </c>
      <c r="F16" s="175" t="n">
        <v>1</v>
      </c>
      <c r="G16" s="174" t="n">
        <v>0.75</v>
      </c>
      <c r="H16" s="0">
        <f>IF(AND(E16&lt;&gt;"",G16&lt;&gt;""),(G16-E16)*24-F16,0)</f>
        <v/>
      </c>
      <c r="I16" s="0">
        <f>MAX(0,H16-8)</f>
        <v/>
      </c>
      <c r="M16" s="0" t="n">
        <v>3</v>
      </c>
      <c r="N16" s="0">
        <f>H16*M16</f>
        <v/>
      </c>
    </row>
    <row r="17">
      <c r="A17" s="0" t="n">
        <v>15</v>
      </c>
      <c r="B17" s="0" t="inlineStr">
        <is>
          <t>15.08.2025</t>
        </is>
      </c>
      <c r="C17" s="0" t="inlineStr">
        <is>
          <t>Pá</t>
        </is>
      </c>
      <c r="F17" s="175" t="n">
        <v>0</v>
      </c>
      <c r="H17" s="0">
        <f>IF(AND(E17&lt;&gt;"",G17&lt;&gt;""),(G17-E17)*24-F17,0)</f>
        <v/>
      </c>
      <c r="I17" s="0">
        <f>MAX(0,H17-8)</f>
        <v/>
      </c>
      <c r="M17" s="0" t="n">
        <v>0</v>
      </c>
      <c r="N17" s="0">
        <f>H17*M17</f>
        <v/>
      </c>
    </row>
    <row r="18">
      <c r="A18" s="155" t="n">
        <v>16</v>
      </c>
      <c r="B18" s="155" t="inlineStr">
        <is>
          <t>16.08.2025</t>
        </is>
      </c>
      <c r="C18" s="155" t="inlineStr">
        <is>
          <t>So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155" t="n">
        <v>17</v>
      </c>
      <c r="B19" s="155" t="inlineStr">
        <is>
          <t>17.08.2025</t>
        </is>
      </c>
      <c r="C19" s="155" t="inlineStr">
        <is>
          <t>Ne</t>
        </is>
      </c>
      <c r="D19" s="155" t="n"/>
      <c r="E19" s="155" t="n"/>
      <c r="F19" s="155" t="n"/>
      <c r="G19" s="155" t="n"/>
      <c r="H19" s="155">
        <f>IF(AND(E19&lt;&gt;"",G19&lt;&gt;""),(G19-E19)*24-F19,0)</f>
        <v/>
      </c>
      <c r="I19" s="155">
        <f>MAX(0,H19-8)</f>
        <v/>
      </c>
      <c r="J19" s="155" t="n"/>
      <c r="K19" s="155" t="n"/>
      <c r="L19" s="155" t="n"/>
      <c r="M19" s="155" t="n"/>
      <c r="N19" s="155">
        <f>H19*M19</f>
        <v/>
      </c>
    </row>
    <row r="20">
      <c r="A20" s="0" t="n">
        <v>18</v>
      </c>
      <c r="B20" s="0" t="inlineStr">
        <is>
          <t>18.08.2025</t>
        </is>
      </c>
      <c r="C20" s="0" t="inlineStr">
        <is>
          <t>Po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19.08.2025</t>
        </is>
      </c>
      <c r="C21" s="0" t="inlineStr">
        <is>
          <t>Út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20.08.2025</t>
        </is>
      </c>
      <c r="C22" s="0" t="inlineStr">
        <is>
          <t>St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21.08.2025</t>
        </is>
      </c>
      <c r="C23" s="0" t="inlineStr">
        <is>
          <t>Čt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22.08.2025</t>
        </is>
      </c>
      <c r="C24" s="0" t="inlineStr">
        <is>
          <t>Pá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155" t="n">
        <v>23</v>
      </c>
      <c r="B25" s="155" t="inlineStr">
        <is>
          <t>23.08.2025</t>
        </is>
      </c>
      <c r="C25" s="155" t="inlineStr">
        <is>
          <t>So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155" t="n">
        <v>24</v>
      </c>
      <c r="B26" s="155" t="inlineStr">
        <is>
          <t>24.08.2025</t>
        </is>
      </c>
      <c r="C26" s="155" t="inlineStr">
        <is>
          <t>Ne</t>
        </is>
      </c>
      <c r="D26" s="155" t="n"/>
      <c r="E26" s="155" t="n"/>
      <c r="F26" s="155" t="n"/>
      <c r="G26" s="155" t="n"/>
      <c r="H26" s="155">
        <f>IF(AND(E26&lt;&gt;"",G26&lt;&gt;""),(G26-E26)*24-F26,0)</f>
        <v/>
      </c>
      <c r="I26" s="155">
        <f>MAX(0,H26-8)</f>
        <v/>
      </c>
      <c r="J26" s="155" t="n"/>
      <c r="K26" s="155" t="n"/>
      <c r="L26" s="155" t="n"/>
      <c r="M26" s="155" t="n"/>
      <c r="N26" s="155">
        <f>H26*M26</f>
        <v/>
      </c>
    </row>
    <row r="27" ht="15.75" customHeight="1" s="159">
      <c r="A27" s="0" t="n">
        <v>25</v>
      </c>
      <c r="B27" s="0" t="inlineStr">
        <is>
          <t>25.08.2025</t>
        </is>
      </c>
      <c r="C27" s="0" t="inlineStr">
        <is>
          <t>Po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26.08.2025</t>
        </is>
      </c>
      <c r="C28" s="0" t="inlineStr">
        <is>
          <t>Út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27.08.2025</t>
        </is>
      </c>
      <c r="C29" s="0" t="inlineStr">
        <is>
          <t>St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28.08.2025</t>
        </is>
      </c>
      <c r="C30" s="0" t="inlineStr">
        <is>
          <t>Čt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29.08.2025</t>
        </is>
      </c>
      <c r="C31" s="0" t="inlineStr">
        <is>
          <t>Pá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155" t="n">
        <v>30</v>
      </c>
      <c r="B32" s="155" t="inlineStr">
        <is>
          <t>30.08.2025</t>
        </is>
      </c>
      <c r="C32" s="155" t="inlineStr">
        <is>
          <t>So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155" t="n">
        <v>31</v>
      </c>
      <c r="B33" s="155" t="inlineStr">
        <is>
          <t>31.08.2025</t>
        </is>
      </c>
      <c r="C33" s="155" t="inlineStr">
        <is>
          <t>Ne</t>
        </is>
      </c>
      <c r="D33" s="155" t="n"/>
      <c r="E33" s="155" t="n"/>
      <c r="F33" s="155" t="n"/>
      <c r="G33" s="155" t="n"/>
      <c r="H33" s="155">
        <f>IF(AND(E33&lt;&gt;"",G33&lt;&gt;""),(G33-E33)*24-F33,0)</f>
        <v/>
      </c>
      <c r="I33" s="155">
        <f>MAX(0,H33-8)</f>
        <v/>
      </c>
      <c r="J33" s="155" t="n"/>
      <c r="K33" s="155" t="n"/>
      <c r="L33" s="155" t="n"/>
      <c r="M33" s="155" t="n"/>
      <c r="N33" s="155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2026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155" t="n">
        <v>1</v>
      </c>
      <c r="B3" s="155" t="inlineStr">
        <is>
          <t>01.08.2026</t>
        </is>
      </c>
      <c r="C3" s="155" t="inlineStr">
        <is>
          <t>So</t>
        </is>
      </c>
      <c r="D3" s="155" t="n"/>
      <c r="E3" s="155" t="n"/>
      <c r="F3" s="155" t="n"/>
      <c r="G3" s="155" t="n"/>
      <c r="H3" s="155">
        <f>IF(AND(E3&lt;&gt;"",G3&lt;&gt;""),(G3-E3)*24-F3,0)</f>
        <v/>
      </c>
      <c r="I3" s="155">
        <f>MAX(0,H3-8)</f>
        <v/>
      </c>
      <c r="J3" s="155" t="n"/>
      <c r="K3" s="155" t="n"/>
      <c r="L3" s="155" t="n"/>
      <c r="M3" s="155" t="n"/>
      <c r="N3" s="155">
        <f>H3*M3</f>
        <v/>
      </c>
    </row>
    <row r="4">
      <c r="A4" s="155" t="n">
        <v>2</v>
      </c>
      <c r="B4" s="155" t="inlineStr">
        <is>
          <t>02.08.2026</t>
        </is>
      </c>
      <c r="C4" s="155" t="inlineStr">
        <is>
          <t>Ne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0" t="n">
        <v>3</v>
      </c>
      <c r="B5" s="0" t="inlineStr">
        <is>
          <t>03.08.2026</t>
        </is>
      </c>
      <c r="C5" s="0" t="inlineStr">
        <is>
          <t>Po</t>
        </is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B6" s="0" t="inlineStr">
        <is>
          <t>04.08.2026</t>
        </is>
      </c>
      <c r="C6" s="0" t="inlineStr">
        <is>
          <t>Út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05.08.2026</t>
        </is>
      </c>
      <c r="C7" s="0" t="inlineStr">
        <is>
          <t>St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06.08.2026</t>
        </is>
      </c>
      <c r="C8" s="0" t="inlineStr">
        <is>
          <t>Čt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07.08.2026</t>
        </is>
      </c>
      <c r="C9" s="0" t="inlineStr">
        <is>
          <t>Pá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155" t="n">
        <v>8</v>
      </c>
      <c r="B10" s="155" t="inlineStr">
        <is>
          <t>08.08.2026</t>
        </is>
      </c>
      <c r="C10" s="155" t="inlineStr">
        <is>
          <t>So</t>
        </is>
      </c>
      <c r="D10" s="155" t="n"/>
      <c r="E10" s="155" t="n"/>
      <c r="F10" s="155" t="n"/>
      <c r="G10" s="155" t="n"/>
      <c r="H10" s="155">
        <f>IF(AND(E10&lt;&gt;"",G10&lt;&gt;""),(G10-E10)*24-F10,0)</f>
        <v/>
      </c>
      <c r="I10" s="155">
        <f>MAX(0,H10-8)</f>
        <v/>
      </c>
      <c r="J10" s="155" t="n"/>
      <c r="K10" s="155" t="n"/>
      <c r="L10" s="155" t="n"/>
      <c r="M10" s="155" t="n"/>
      <c r="N10" s="155">
        <f>H10*M10</f>
        <v/>
      </c>
    </row>
    <row r="11">
      <c r="A11" s="155" t="n">
        <v>9</v>
      </c>
      <c r="B11" s="155" t="inlineStr">
        <is>
          <t>09.08.2026</t>
        </is>
      </c>
      <c r="C11" s="155" t="inlineStr">
        <is>
          <t>Ne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0" t="n">
        <v>10</v>
      </c>
      <c r="B12" s="0" t="inlineStr">
        <is>
          <t>10.08.2026</t>
        </is>
      </c>
      <c r="C12" s="0" t="inlineStr">
        <is>
          <t>Po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B13" s="0" t="inlineStr">
        <is>
          <t>11.08.2026</t>
        </is>
      </c>
      <c r="C13" s="0" t="inlineStr">
        <is>
          <t>Út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12.08.2026</t>
        </is>
      </c>
      <c r="C14" s="0" t="inlineStr">
        <is>
          <t>St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13.08.2026</t>
        </is>
      </c>
      <c r="C15" s="0" t="inlineStr">
        <is>
          <t>Čt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14.08.2026</t>
        </is>
      </c>
      <c r="C16" s="0" t="inlineStr">
        <is>
          <t>Pá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155" t="n">
        <v>15</v>
      </c>
      <c r="B17" s="155" t="inlineStr">
        <is>
          <t>15.08.2026</t>
        </is>
      </c>
      <c r="C17" s="155" t="inlineStr">
        <is>
          <t>So</t>
        </is>
      </c>
      <c r="D17" s="155" t="n"/>
      <c r="E17" s="155" t="n"/>
      <c r="F17" s="155" t="n"/>
      <c r="G17" s="155" t="n"/>
      <c r="H17" s="155">
        <f>IF(AND(E17&lt;&gt;"",G17&lt;&gt;""),(G17-E17)*24-F17,0)</f>
        <v/>
      </c>
      <c r="I17" s="155">
        <f>MAX(0,H17-8)</f>
        <v/>
      </c>
      <c r="J17" s="155" t="n"/>
      <c r="K17" s="155" t="n"/>
      <c r="L17" s="155" t="n"/>
      <c r="M17" s="155" t="n"/>
      <c r="N17" s="155">
        <f>H17*M17</f>
        <v/>
      </c>
    </row>
    <row r="18">
      <c r="A18" s="155" t="n">
        <v>16</v>
      </c>
      <c r="B18" s="155" t="inlineStr">
        <is>
          <t>16.08.2026</t>
        </is>
      </c>
      <c r="C18" s="155" t="inlineStr">
        <is>
          <t>Ne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0" t="n">
        <v>17</v>
      </c>
      <c r="B19" s="0" t="inlineStr">
        <is>
          <t>17.08.2026</t>
        </is>
      </c>
      <c r="C19" s="0" t="inlineStr">
        <is>
          <t>Po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B20" s="0" t="inlineStr">
        <is>
          <t>18.08.2026</t>
        </is>
      </c>
      <c r="C20" s="0" t="inlineStr">
        <is>
          <t>Út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19.08.2026</t>
        </is>
      </c>
      <c r="C21" s="0" t="inlineStr">
        <is>
          <t>St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20.08.2026</t>
        </is>
      </c>
      <c r="C22" s="0" t="inlineStr">
        <is>
          <t>Čt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21.08.2026</t>
        </is>
      </c>
      <c r="C23" s="0" t="inlineStr">
        <is>
          <t>Pá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155" t="n">
        <v>22</v>
      </c>
      <c r="B24" s="155" t="inlineStr">
        <is>
          <t>22.08.2026</t>
        </is>
      </c>
      <c r="C24" s="155" t="inlineStr">
        <is>
          <t>So</t>
        </is>
      </c>
      <c r="D24" s="155" t="n"/>
      <c r="E24" s="155" t="n"/>
      <c r="F24" s="155" t="n"/>
      <c r="G24" s="155" t="n"/>
      <c r="H24" s="155">
        <f>IF(AND(E24&lt;&gt;"",G24&lt;&gt;""),(G24-E24)*24-F24,0)</f>
        <v/>
      </c>
      <c r="I24" s="155">
        <f>MAX(0,H24-8)</f>
        <v/>
      </c>
      <c r="J24" s="155" t="n"/>
      <c r="K24" s="155" t="n"/>
      <c r="L24" s="155" t="n"/>
      <c r="M24" s="155" t="n"/>
      <c r="N24" s="155">
        <f>H24*M24</f>
        <v/>
      </c>
    </row>
    <row r="25" ht="15.75" customHeight="1" s="159">
      <c r="A25" s="155" t="n">
        <v>23</v>
      </c>
      <c r="B25" s="155" t="inlineStr">
        <is>
          <t>23.08.2026</t>
        </is>
      </c>
      <c r="C25" s="155" t="inlineStr">
        <is>
          <t>Ne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0" t="n">
        <v>24</v>
      </c>
      <c r="B26" s="0" t="inlineStr">
        <is>
          <t>24.08.2026</t>
        </is>
      </c>
      <c r="C26" s="0" t="inlineStr">
        <is>
          <t>Po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B27" s="0" t="inlineStr">
        <is>
          <t>25.08.2026</t>
        </is>
      </c>
      <c r="C27" s="0" t="inlineStr">
        <is>
          <t>Út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26.08.2026</t>
        </is>
      </c>
      <c r="C28" s="0" t="inlineStr">
        <is>
          <t>St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27.08.2026</t>
        </is>
      </c>
      <c r="C29" s="0" t="inlineStr">
        <is>
          <t>Čt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28.08.2026</t>
        </is>
      </c>
      <c r="C30" s="0" t="inlineStr">
        <is>
          <t>Pá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155" t="n">
        <v>29</v>
      </c>
      <c r="B31" s="155" t="inlineStr">
        <is>
          <t>29.08.2026</t>
        </is>
      </c>
      <c r="C31" s="155" t="inlineStr">
        <is>
          <t>So</t>
        </is>
      </c>
      <c r="D31" s="155" t="n"/>
      <c r="E31" s="155" t="n"/>
      <c r="F31" s="155" t="n"/>
      <c r="G31" s="155" t="n"/>
      <c r="H31" s="155">
        <f>IF(AND(E31&lt;&gt;"",G31&lt;&gt;""),(G31-E31)*24-F31,0)</f>
        <v/>
      </c>
      <c r="I31" s="155">
        <f>MAX(0,H31-8)</f>
        <v/>
      </c>
      <c r="J31" s="155" t="n"/>
      <c r="K31" s="155" t="n"/>
      <c r="L31" s="155" t="n"/>
      <c r="M31" s="155" t="n"/>
      <c r="N31" s="155">
        <f>H31*M31</f>
        <v/>
      </c>
    </row>
    <row r="32" ht="15.75" customHeight="1" s="159">
      <c r="A32" s="155" t="n">
        <v>30</v>
      </c>
      <c r="B32" s="155" t="inlineStr">
        <is>
          <t>30.08.2026</t>
        </is>
      </c>
      <c r="C32" s="155" t="inlineStr">
        <is>
          <t>Ne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0" t="n">
        <v>31</v>
      </c>
      <c r="B33" s="0" t="inlineStr">
        <is>
          <t>31.08.2026</t>
        </is>
      </c>
      <c r="C33" s="0" t="inlineStr">
        <is>
          <t>Po</t>
        </is>
      </c>
      <c r="E33" s="156" t="n">
        <v>0.2916666666666667</v>
      </c>
      <c r="F33" s="157" t="n">
        <v>1</v>
      </c>
      <c r="G33" s="156" t="n">
        <v>0.75</v>
      </c>
      <c r="H33" s="158">
        <f>IF(AND(E33&lt;&gt;"",G33&lt;&gt;""),(G33-E33)*24-F33,0)</f>
        <v/>
      </c>
      <c r="I33" s="0">
        <f>MAX(0,H33-8)</f>
        <v/>
      </c>
      <c r="M33" s="0" t="n">
        <v>2</v>
      </c>
      <c r="N33" s="158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Čáp</t>
        </is>
      </c>
      <c r="R2" s="12" t="inlineStr">
        <is>
          <t xml:space="preserve"> Datum</t>
        </is>
      </c>
      <c r="S2" s="13" t="inlineStr">
        <is>
          <t>Novák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>
        <v>150</v>
      </c>
      <c r="E3" s="17" t="inlineStr">
        <is>
          <t>15.08.2026</t>
        </is>
      </c>
      <c r="F3" s="20" t="n"/>
      <c r="G3" s="19" t="n"/>
      <c r="H3" s="20" t="n">
        <v>45.5</v>
      </c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>
        <v>100</v>
      </c>
      <c r="R3" s="26" t="inlineStr">
        <is>
          <t>20.08.2026</t>
        </is>
      </c>
      <c r="S3" s="25" t="n">
        <v>70</v>
      </c>
      <c r="T3" s="26" t="inlineStr">
        <is>
          <t>12.08.2026</t>
        </is>
      </c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>
        <v>200</v>
      </c>
      <c r="P4" s="36" t="n">
        <v>5000</v>
      </c>
      <c r="Q4" s="41" t="n">
        <v>500</v>
      </c>
      <c r="R4" s="42" t="inlineStr">
        <is>
          <t>31.08.2026</t>
        </is>
      </c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>
        <v>150</v>
      </c>
      <c r="P5" s="18" t="n"/>
      <c r="Q5" s="25" t="n">
        <v>100</v>
      </c>
      <c r="R5" s="26" t="inlineStr">
        <is>
          <t>01.08.2026</t>
        </is>
      </c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>
        <v>50</v>
      </c>
      <c r="R6" s="42" t="inlineStr">
        <is>
          <t>10.08.2026</t>
        </is>
      </c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Leden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01.01.2025</t>
        </is>
      </c>
      <c r="C3" s="0" t="inlineStr">
        <is>
          <t>St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B4" s="0" t="inlineStr">
        <is>
          <t>02.01.2025</t>
        </is>
      </c>
      <c r="C4" s="0" t="inlineStr">
        <is>
          <t>Čt</t>
        </is>
      </c>
      <c r="E4" s="174" t="n">
        <v>0.2916666666666667</v>
      </c>
      <c r="F4" s="175" t="n">
        <v>0.5</v>
      </c>
      <c r="G4" s="174" t="n">
        <v>0.6458333333333334</v>
      </c>
      <c r="H4" s="0">
        <f>IF(AND(E4&lt;&gt;"",G4&lt;&gt;""),(G4-E4)*24-F4,0)</f>
        <v/>
      </c>
      <c r="I4" s="0">
        <f>MAX(0,H4-8)</f>
        <v/>
      </c>
      <c r="M4" s="0" t="n">
        <v>3</v>
      </c>
      <c r="N4" s="0">
        <f>H4*M4</f>
        <v/>
      </c>
    </row>
    <row r="5">
      <c r="A5" s="0" t="n">
        <v>3</v>
      </c>
      <c r="B5" s="0" t="inlineStr">
        <is>
          <t>03.01.2025</t>
        </is>
      </c>
      <c r="C5" s="0" t="inlineStr">
        <is>
          <t>Pá</t>
        </is>
      </c>
      <c r="E5" s="174" t="n">
        <v>0.2916666666666667</v>
      </c>
      <c r="F5" s="175" t="n">
        <v>1</v>
      </c>
      <c r="G5" s="174" t="n">
        <v>0.6666666666666666</v>
      </c>
      <c r="H5" s="0">
        <f>IF(AND(E5&lt;&gt;"",G5&lt;&gt;""),(G5-E5)*24-F5,0)</f>
        <v/>
      </c>
      <c r="I5" s="0">
        <f>MAX(0,H5-8)</f>
        <v/>
      </c>
      <c r="M5" s="0" t="n">
        <v>3</v>
      </c>
      <c r="N5" s="0">
        <f>H5*M5</f>
        <v/>
      </c>
    </row>
    <row r="6">
      <c r="A6" s="176" t="n">
        <v>4</v>
      </c>
      <c r="B6" s="177" t="inlineStr">
        <is>
          <t>04.01.2025</t>
        </is>
      </c>
      <c r="C6" s="177" t="inlineStr">
        <is>
          <t>So</t>
        </is>
      </c>
      <c r="D6" s="177" t="n"/>
      <c r="E6" s="177" t="n"/>
      <c r="F6" s="177" t="n"/>
      <c r="G6" s="177" t="n"/>
      <c r="H6" s="176">
        <f>IF(AND(E6&lt;&gt;"",G6&lt;&gt;""),(G6-E6)*24-F6,0)</f>
        <v/>
      </c>
      <c r="I6" s="176">
        <f>MAX(0,H6-8)</f>
        <v/>
      </c>
      <c r="J6" s="177" t="n"/>
      <c r="K6" s="177" t="n"/>
      <c r="L6" s="177" t="n"/>
      <c r="M6" s="177" t="n"/>
      <c r="N6" s="176">
        <f>H6*M6</f>
        <v/>
      </c>
    </row>
    <row r="7">
      <c r="A7" s="176" t="n">
        <v>5</v>
      </c>
      <c r="B7" s="177" t="inlineStr">
        <is>
          <t>05.01.2025</t>
        </is>
      </c>
      <c r="C7" s="177" t="inlineStr">
        <is>
          <t>Ne</t>
        </is>
      </c>
      <c r="D7" s="177" t="n"/>
      <c r="E7" s="177" t="n"/>
      <c r="F7" s="177" t="n"/>
      <c r="G7" s="177" t="n"/>
      <c r="H7" s="176">
        <f>IF(AND(E7&lt;&gt;"",G7&lt;&gt;""),(G7-E7)*24-F7,0)</f>
        <v/>
      </c>
      <c r="I7" s="176">
        <f>MAX(0,H7-8)</f>
        <v/>
      </c>
      <c r="J7" s="177" t="n"/>
      <c r="K7" s="177" t="n"/>
      <c r="L7" s="177" t="n"/>
      <c r="M7" s="177" t="n"/>
      <c r="N7" s="176">
        <f>H7*M7</f>
        <v/>
      </c>
    </row>
    <row r="8">
      <c r="A8" s="0" t="n">
        <v>6</v>
      </c>
      <c r="B8" s="0" t="inlineStr">
        <is>
          <t>06.01.2025</t>
        </is>
      </c>
      <c r="C8" s="0" t="inlineStr">
        <is>
          <t>Po</t>
        </is>
      </c>
      <c r="E8" s="174" t="n">
        <v>0.3333333333333333</v>
      </c>
      <c r="F8" s="175" t="n">
        <v>0.5</v>
      </c>
      <c r="G8" s="174" t="n">
        <v>0.6875</v>
      </c>
      <c r="H8" s="0">
        <f>IF(AND(E8&lt;&gt;"",G8&lt;&gt;""),(G8-E8)*24-F8,0)</f>
        <v/>
      </c>
      <c r="I8" s="0">
        <f>MAX(0,H8-8)</f>
        <v/>
      </c>
      <c r="M8" s="0" t="n">
        <v>2</v>
      </c>
      <c r="N8" s="0">
        <f>H8*M8</f>
        <v/>
      </c>
    </row>
    <row r="9">
      <c r="A9" s="0" t="n">
        <v>7</v>
      </c>
      <c r="B9" s="0" t="inlineStr">
        <is>
          <t>07.01.2025</t>
        </is>
      </c>
      <c r="C9" s="0" t="inlineStr">
        <is>
          <t>Út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08.01.2025</t>
        </is>
      </c>
      <c r="C10" s="0" t="inlineStr">
        <is>
          <t>St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B11" s="0" t="inlineStr">
        <is>
          <t>09.01.2025</t>
        </is>
      </c>
      <c r="C11" s="0" t="inlineStr">
        <is>
          <t>Čt</t>
        </is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B12" s="0" t="inlineStr">
        <is>
          <t>10.01.2025</t>
        </is>
      </c>
      <c r="C12" s="0" t="inlineStr">
        <is>
          <t>Pá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176" t="n">
        <v>11</v>
      </c>
      <c r="B13" s="177" t="inlineStr">
        <is>
          <t>11.01.2025</t>
        </is>
      </c>
      <c r="C13" s="177" t="inlineStr">
        <is>
          <t>So</t>
        </is>
      </c>
      <c r="D13" s="177" t="n"/>
      <c r="E13" s="177" t="n"/>
      <c r="F13" s="177" t="n"/>
      <c r="G13" s="177" t="n"/>
      <c r="H13" s="176">
        <f>IF(AND(E13&lt;&gt;"",G13&lt;&gt;""),(G13-E13)*24-F13,0)</f>
        <v/>
      </c>
      <c r="I13" s="176">
        <f>MAX(0,H13-8)</f>
        <v/>
      </c>
      <c r="J13" s="177" t="n"/>
      <c r="K13" s="177" t="n"/>
      <c r="L13" s="177" t="n"/>
      <c r="M13" s="177" t="n"/>
      <c r="N13" s="176">
        <f>H13*M13</f>
        <v/>
      </c>
    </row>
    <row r="14">
      <c r="A14" s="176" t="n">
        <v>12</v>
      </c>
      <c r="B14" s="177" t="inlineStr">
        <is>
          <t>12.01.2025</t>
        </is>
      </c>
      <c r="C14" s="177" t="inlineStr">
        <is>
          <t>Ne</t>
        </is>
      </c>
      <c r="D14" s="177" t="n"/>
      <c r="E14" s="177" t="n"/>
      <c r="F14" s="177" t="n"/>
      <c r="G14" s="177" t="n"/>
      <c r="H14" s="176">
        <f>IF(AND(E14&lt;&gt;"",G14&lt;&gt;""),(G14-E14)*24-F14,0)</f>
        <v/>
      </c>
      <c r="I14" s="176">
        <f>MAX(0,H14-8)</f>
        <v/>
      </c>
      <c r="J14" s="177" t="n"/>
      <c r="K14" s="177" t="n"/>
      <c r="L14" s="177" t="n"/>
      <c r="M14" s="177" t="n"/>
      <c r="N14" s="176">
        <f>H14*M14</f>
        <v/>
      </c>
    </row>
    <row r="15">
      <c r="A15" s="0" t="n">
        <v>13</v>
      </c>
      <c r="B15" s="0" t="inlineStr">
        <is>
          <t>13.01.2025</t>
        </is>
      </c>
      <c r="C15" s="0" t="inlineStr">
        <is>
          <t>Po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14.01.2025</t>
        </is>
      </c>
      <c r="C16" s="0" t="inlineStr">
        <is>
          <t>Út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B17" s="0" t="inlineStr">
        <is>
          <t>15.01.2025</t>
        </is>
      </c>
      <c r="C17" s="0" t="inlineStr">
        <is>
          <t>St</t>
        </is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B18" s="0" t="inlineStr">
        <is>
          <t>16.01.2025</t>
        </is>
      </c>
      <c r="C18" s="0" t="inlineStr">
        <is>
          <t>Čt</t>
        </is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B19" s="0" t="inlineStr">
        <is>
          <t>17.01.2025</t>
        </is>
      </c>
      <c r="C19" s="0" t="inlineStr">
        <is>
          <t>Pá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176" t="n">
        <v>18</v>
      </c>
      <c r="B20" s="177" t="inlineStr">
        <is>
          <t>18.01.2025</t>
        </is>
      </c>
      <c r="C20" s="177" t="inlineStr">
        <is>
          <t>So</t>
        </is>
      </c>
      <c r="D20" s="177" t="n"/>
      <c r="E20" s="177" t="n"/>
      <c r="F20" s="177" t="n"/>
      <c r="G20" s="177" t="n"/>
      <c r="H20" s="176">
        <f>IF(AND(E20&lt;&gt;"",G20&lt;&gt;""),(G20-E20)*24-F20,0)</f>
        <v/>
      </c>
      <c r="I20" s="176">
        <f>MAX(0,H20-8)</f>
        <v/>
      </c>
      <c r="J20" s="177" t="n"/>
      <c r="K20" s="177" t="n"/>
      <c r="L20" s="177" t="n"/>
      <c r="M20" s="177" t="n"/>
      <c r="N20" s="176">
        <f>H20*M20</f>
        <v/>
      </c>
    </row>
    <row r="21" ht="15.75" customHeight="1" s="159">
      <c r="A21" s="176" t="n">
        <v>19</v>
      </c>
      <c r="B21" s="177" t="inlineStr">
        <is>
          <t>19.01.2025</t>
        </is>
      </c>
      <c r="C21" s="177" t="inlineStr">
        <is>
          <t>Ne</t>
        </is>
      </c>
      <c r="D21" s="177" t="n"/>
      <c r="E21" s="177" t="n"/>
      <c r="F21" s="177" t="n"/>
      <c r="G21" s="177" t="n"/>
      <c r="H21" s="176">
        <f>IF(AND(E21&lt;&gt;"",G21&lt;&gt;""),(G21-E21)*24-F21,0)</f>
        <v/>
      </c>
      <c r="I21" s="176">
        <f>MAX(0,H21-8)</f>
        <v/>
      </c>
      <c r="J21" s="177" t="n"/>
      <c r="K21" s="177" t="n"/>
      <c r="L21" s="177" t="n"/>
      <c r="M21" s="177" t="n"/>
      <c r="N21" s="176">
        <f>H21*M21</f>
        <v/>
      </c>
    </row>
    <row r="22" ht="15.75" customHeight="1" s="159">
      <c r="A22" s="0" t="n">
        <v>20</v>
      </c>
      <c r="B22" s="0" t="inlineStr">
        <is>
          <t>20.01.2025</t>
        </is>
      </c>
      <c r="C22" s="0" t="inlineStr">
        <is>
          <t>Po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21.01.2025</t>
        </is>
      </c>
      <c r="C23" s="0" t="inlineStr">
        <is>
          <t>Út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22.01.2025</t>
        </is>
      </c>
      <c r="C24" s="0" t="inlineStr">
        <is>
          <t>St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B25" s="0" t="inlineStr">
        <is>
          <t>23.01.2025</t>
        </is>
      </c>
      <c r="C25" s="0" t="inlineStr">
        <is>
          <t>Čt</t>
        </is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B26" s="0" t="inlineStr">
        <is>
          <t>24.01.2025</t>
        </is>
      </c>
      <c r="C26" s="0" t="inlineStr">
        <is>
          <t>Pá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176" t="n">
        <v>25</v>
      </c>
      <c r="B27" s="177" t="inlineStr">
        <is>
          <t>25.01.2025</t>
        </is>
      </c>
      <c r="C27" s="177" t="inlineStr">
        <is>
          <t>So</t>
        </is>
      </c>
      <c r="D27" s="177" t="n"/>
      <c r="E27" s="177" t="n"/>
      <c r="F27" s="177" t="n"/>
      <c r="G27" s="177" t="n"/>
      <c r="H27" s="176">
        <f>IF(AND(E27&lt;&gt;"",G27&lt;&gt;""),(G27-E27)*24-F27,0)</f>
        <v/>
      </c>
      <c r="I27" s="176">
        <f>MAX(0,H27-8)</f>
        <v/>
      </c>
      <c r="J27" s="177" t="n"/>
      <c r="K27" s="177" t="n"/>
      <c r="L27" s="177" t="n"/>
      <c r="M27" s="177" t="n"/>
      <c r="N27" s="176">
        <f>H27*M27</f>
        <v/>
      </c>
    </row>
    <row r="28" ht="15.75" customHeight="1" s="159">
      <c r="A28" s="176" t="n">
        <v>26</v>
      </c>
      <c r="B28" s="177" t="inlineStr">
        <is>
          <t>26.01.2025</t>
        </is>
      </c>
      <c r="C28" s="177" t="inlineStr">
        <is>
          <t>Ne</t>
        </is>
      </c>
      <c r="D28" s="177" t="n"/>
      <c r="E28" s="177" t="n"/>
      <c r="F28" s="177" t="n"/>
      <c r="G28" s="177" t="n"/>
      <c r="H28" s="176">
        <f>IF(AND(E28&lt;&gt;"",G28&lt;&gt;""),(G28-E28)*24-F28,0)</f>
        <v/>
      </c>
      <c r="I28" s="176">
        <f>MAX(0,H28-8)</f>
        <v/>
      </c>
      <c r="J28" s="177" t="n"/>
      <c r="K28" s="177" t="n"/>
      <c r="L28" s="177" t="n"/>
      <c r="M28" s="177" t="n"/>
      <c r="N28" s="176">
        <f>H28*M28</f>
        <v/>
      </c>
    </row>
    <row r="29" ht="15.75" customHeight="1" s="159">
      <c r="A29" s="0" t="n">
        <v>27</v>
      </c>
      <c r="B29" s="0" t="inlineStr">
        <is>
          <t>27.01.2025</t>
        </is>
      </c>
      <c r="C29" s="0" t="inlineStr">
        <is>
          <t>Po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28.01.2025</t>
        </is>
      </c>
      <c r="C30" s="0" t="inlineStr">
        <is>
          <t>Út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29.01.2025</t>
        </is>
      </c>
      <c r="C31" s="0" t="inlineStr">
        <is>
          <t>St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B32" s="0" t="inlineStr">
        <is>
          <t>30.01.2025</t>
        </is>
      </c>
      <c r="C32" s="0" t="inlineStr">
        <is>
          <t>Čt</t>
        </is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B33" s="0" t="inlineStr">
        <is>
          <t>31.01.2025</t>
        </is>
      </c>
      <c r="C33" s="0" t="inlineStr">
        <is>
          <t>Pá</t>
        </is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2026-08-31T21:31:29Z</dcterms:created>
  <dcterms:modified xsi:type="dcterms:W3CDTF">2026-08-31T23:16:35Z</dcterms:modified>
</cp:coreProperties>
</file>