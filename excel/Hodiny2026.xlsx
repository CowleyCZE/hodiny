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Mhod26" sheetId="1" state="visible" r:id="rId1"/>
    <sheet name="MMcash26" sheetId="2" state="visible" r:id="rId2"/>
    <sheet name="08hod25" sheetId="3" state="visible" r:id="rId3"/>
    <sheet name="08hod26" sheetId="4" state="visible" r:id="rId4"/>
    <sheet name="08cash26" sheetId="5" state="visible" r:id="rId5"/>
    <sheet name="01hod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0\ [$€-1];[Red]\-#,##0.00\ [$€-1]"/>
    <numFmt numFmtId="165" formatCode="#,##0.00\ [$Kč-405];[Red]\-#,##0.00\ [$Kč-405]"/>
    <numFmt numFmtId="166" formatCode="d/m"/>
    <numFmt numFmtId="167" formatCode="#,##0\ [$Kč-405];[Red]\-#,##0\ [$Kč-405]"/>
    <numFmt numFmtId="168" formatCode="#,##0\ [$€-1];[Red]\-#,##0\ [$€-1]"/>
    <numFmt numFmtId="169" formatCode="#,##0\ [$€-1]"/>
    <numFmt numFmtId="170" formatCode="#,##0\ [$Kč-405]"/>
    <numFmt numFmtId="171" formatCode="#,##0.00\ [$€-1]"/>
    <numFmt numFmtId="172" formatCode="#,##0.00\ [$Kč-405]"/>
    <numFmt numFmtId="173" formatCode="0\ \K\č"/>
    <numFmt numFmtId="174" formatCode="#,##0.0\ [$Kč-405]"/>
    <numFmt numFmtId="175" formatCode="#,##0.0\ [$€-1];[Red]\-#,##0.0\ [$€-1]"/>
    <numFmt numFmtId="176" formatCode="0.0"/>
  </numFmts>
  <fonts count="14">
    <font>
      <name val="Arial"/>
      <color rgb="00000000"/>
      <sz val="11"/>
      <scheme val="minor"/>
    </font>
    <font>
      <b val="1"/>
    </font>
    <font>
      <name val="Calibri"/>
      <b val="1"/>
      <i val="1"/>
      <color rgb="FFFFFFFF"/>
      <sz val="18"/>
    </font>
    <font/>
    <font>
      <name val="Calibri"/>
      <b val="1"/>
      <sz val="14"/>
    </font>
    <font>
      <name val="Calibri"/>
      <b val="1"/>
      <color rgb="FF1D1B10"/>
      <sz val="12"/>
    </font>
    <font>
      <name val="Arial"/>
      <sz val="11"/>
    </font>
    <font>
      <name val="Calibri"/>
      <sz val="11"/>
    </font>
    <font>
      <name val="Calibri"/>
      <b val="1"/>
      <i val="1"/>
      <color rgb="FFEEECE1"/>
      <sz val="14"/>
    </font>
    <font>
      <name val="Calibri"/>
      <b val="1"/>
      <color rgb="FF1D1B10"/>
      <sz val="11"/>
    </font>
    <font>
      <name val="Calibri"/>
      <color rgb="FFFFFFFF"/>
      <sz val="11"/>
      <u val="single"/>
    </font>
    <font>
      <name val="Calibri"/>
      <color rgb="FFFFFFFF"/>
      <sz val="11"/>
    </font>
    <font>
      <name val="Calibri"/>
      <strike val="1"/>
      <sz val="11"/>
    </font>
    <font>
      <name val="Calibri"/>
      <color rgb="00000000"/>
      <sz val="11"/>
    </font>
  </fonts>
  <fills count="15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94429"/>
        <bgColor rgb="FF494429"/>
      </patternFill>
    </fill>
    <fill>
      <patternFill patternType="solid">
        <fgColor rgb="FF000000"/>
        <bgColor rgb="FF000000"/>
      </patternFill>
    </fill>
    <fill>
      <patternFill patternType="solid">
        <fgColor rgb="FF938953"/>
        <bgColor rgb="FF938953"/>
      </patternFill>
    </fill>
    <fill>
      <patternFill patternType="solid">
        <fgColor rgb="FF366092"/>
        <bgColor rgb="FF366092"/>
      </patternFill>
    </fill>
    <fill>
      <patternFill patternType="solid">
        <fgColor rgb="FFDDD9C3"/>
        <bgColor rgb="FFDDD9C3"/>
      </patternFill>
    </fill>
    <fill>
      <patternFill patternType="solid">
        <fgColor rgb="FF4285F4"/>
        <bgColor rgb="FF4285F4"/>
      </patternFill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1F497D"/>
        <bgColor rgb="FF1F497D"/>
      </patternFill>
    </fill>
    <fill>
      <patternFill patternType="solid">
        <fgColor rgb="FF8DB3E2"/>
        <bgColor rgb="FF8DB3E2"/>
      </patternFill>
    </fill>
    <fill>
      <patternFill patternType="solid">
        <fgColor rgb="FFFFE6E6"/>
        <bgColor rgb="FFFFE6E6"/>
      </patternFill>
    </fill>
    <fill>
      <patternFill patternType="solid">
        <fgColor rgb="00FFE6E6"/>
      </patternFill>
    </fill>
  </fills>
  <borders count="44">
    <border/>
    <border>
      <left/>
      <right/>
      <top/>
      <bottom/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right style="thin">
        <color rgb="FF505050"/>
      </right>
      <bottom style="medium">
        <color rgb="FF505050"/>
      </bottom>
    </border>
    <border>
      <right style="medium">
        <color rgb="FF505050"/>
      </right>
      <bottom style="medium">
        <color rgb="FF505050"/>
      </bottom>
    </border>
    <border>
      <left style="medium">
        <color rgb="FF000000"/>
      </left>
      <right style="dotted">
        <color rgb="FFFFFFFF"/>
      </right>
      <bottom style="hair">
        <color rgb="FFFFFFFF"/>
      </bottom>
    </border>
    <border>
      <right style="dotted">
        <color rgb="FFFFFFFF"/>
      </right>
      <bottom style="hair">
        <color rgb="FFFFFFFF"/>
      </bottom>
    </border>
    <border>
      <right style="thick">
        <color rgb="FF000000"/>
      </right>
      <bottom style="hair">
        <color rgb="FFFFFFFF"/>
      </bottom>
    </border>
    <border>
      <right style="thin">
        <color rgb="FF505050"/>
      </right>
    </border>
    <border>
      <right style="medium">
        <color rgb="FF505050"/>
      </right>
    </border>
    <border>
      <right style="thin">
        <color rgb="FF505050"/>
      </right>
      <bottom style="medium">
        <color rgb="FF000000"/>
      </bottom>
    </border>
    <border>
      <right style="medium">
        <color rgb="FF505050"/>
      </right>
      <bottom style="medium">
        <color rgb="FF000000"/>
      </bottom>
    </border>
    <border>
      <bottom style="hair">
        <color rgb="FFFFFFFF"/>
      </bottom>
    </border>
    <border>
      <bottom style="medium">
        <color rgb="FF000000"/>
      </bottom>
    </border>
    <border>
      <bottom style="medium">
        <color rgb="FF505050"/>
      </bottom>
    </border>
    <border>
      <right style="thin">
        <color rgb="FF505050"/>
      </right>
      <bottom style="thin">
        <color rgb="FF505050"/>
      </bottom>
    </border>
    <border>
      <right style="medium">
        <color rgb="FF505050"/>
      </right>
      <bottom style="thin">
        <color rgb="FF505050"/>
      </bottom>
    </border>
    <border>
      <left style="medium">
        <color rgb="FF000000"/>
      </left>
      <right style="thin">
        <color rgb="FF000000"/>
      </right>
      <bottom style="hair">
        <color rgb="FFFFFFFF"/>
      </bottom>
    </border>
    <border>
      <right style="medium">
        <color rgb="FF000000"/>
      </right>
      <bottom style="hair">
        <color rgb="FFFFFFFF"/>
      </bottom>
    </border>
    <border>
      <right style="thin">
        <color rgb="FFFFFFFF"/>
      </right>
      <bottom style="hair">
        <color rgb="FFFFFFFF"/>
      </bottom>
    </border>
    <border>
      <right style="thin">
        <color rgb="FF000000"/>
      </right>
      <bottom style="hair">
        <color rgb="FFFFFFFF"/>
      </bottom>
    </border>
    <border>
      <right style="medium">
        <color rgb="FFFFFFFF"/>
      </right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medium">
        <color rgb="FF000000"/>
      </left>
      <right style="dotted">
        <color rgb="FFFFFFFF"/>
      </right>
    </border>
    <border>
      <right style="dotted">
        <color rgb="FFFFFFFF"/>
      </right>
    </border>
    <border>
      <right style="thick">
        <color rgb="FF000000"/>
      </right>
    </border>
    <border>
      <right style="dotted">
        <color rgb="FFFFFFFF"/>
      </right>
      <bottom style="medium">
        <color rgb="FF000000"/>
      </bottom>
    </border>
    <border>
      <right style="dotted">
        <color rgb="FFFFFFFF"/>
      </right>
      <bottom style="thin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right style="thick">
        <color rgb="FF000000"/>
      </right>
    </border>
  </borders>
  <cellStyleXfs count="1">
    <xf numFmtId="0" fontId="0" fillId="0" borderId="0"/>
  </cellStyleXfs>
  <cellXfs count="17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2" borderId="1" pivotButton="0" quotePrefix="0" xfId="0"/>
    <xf numFmtId="0" fontId="2" fillId="3" borderId="2" applyAlignment="1" pivotButton="0" quotePrefix="0" xfId="0">
      <alignment horizontal="center"/>
    </xf>
    <xf numFmtId="0" fontId="3" fillId="0" borderId="3" pivotButton="0" quotePrefix="0" xfId="0"/>
    <xf numFmtId="0" fontId="2" fillId="3" borderId="3" applyAlignment="1" pivotButton="0" quotePrefix="0" xfId="0">
      <alignment horizontal="center"/>
    </xf>
    <xf numFmtId="0" fontId="3" fillId="0" borderId="4" pivotButton="0" quotePrefix="0" xfId="0"/>
    <xf numFmtId="0" fontId="2" fillId="3" borderId="5" applyAlignment="1" pivotButton="0" quotePrefix="0" xfId="0">
      <alignment horizontal="center"/>
    </xf>
    <xf numFmtId="0" fontId="3" fillId="0" borderId="5" pivotButton="0" quotePrefix="0" xfId="0"/>
    <xf numFmtId="0" fontId="3" fillId="0" borderId="6" pivotButton="0" quotePrefix="0" xfId="0"/>
    <xf numFmtId="0" fontId="4" fillId="4" borderId="7" applyAlignment="1" pivotButton="0" quotePrefix="0" xfId="0">
      <alignment horizontal="center"/>
    </xf>
    <xf numFmtId="0" fontId="4" fillId="4" borderId="8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164" fontId="4" fillId="4" borderId="8" applyAlignment="1" pivotButton="0" quotePrefix="0" xfId="0">
      <alignment horizontal="center"/>
    </xf>
    <xf numFmtId="0" fontId="5" fillId="5" borderId="10" applyAlignment="1" pivotButton="0" quotePrefix="0" xfId="0">
      <alignment horizontal="center"/>
    </xf>
    <xf numFmtId="0" fontId="5" fillId="5" borderId="11" applyAlignment="1" pivotButton="0" quotePrefix="0" xfId="0">
      <alignment horizontal="center"/>
    </xf>
    <xf numFmtId="165" fontId="6" fillId="6" borderId="12" pivotButton="0" quotePrefix="0" xfId="0"/>
    <xf numFmtId="166" fontId="6" fillId="6" borderId="13" pivotButton="0" quotePrefix="0" xfId="0"/>
    <xf numFmtId="165" fontId="6" fillId="6" borderId="14" pivotButton="0" quotePrefix="0" xfId="0"/>
    <xf numFmtId="164" fontId="6" fillId="6" borderId="13" pivotButton="0" quotePrefix="0" xfId="0"/>
    <xf numFmtId="164" fontId="6" fillId="6" borderId="14" pivotButton="0" quotePrefix="0" xfId="0"/>
    <xf numFmtId="167" fontId="6" fillId="6" borderId="13" pivotButton="0" quotePrefix="0" xfId="0"/>
    <xf numFmtId="0" fontId="6" fillId="6" borderId="13" pivotButton="0" quotePrefix="0" xfId="0"/>
    <xf numFmtId="168" fontId="7" fillId="6" borderId="13" applyAlignment="1" pivotButton="0" quotePrefix="0" xfId="0">
      <alignment horizontal="center"/>
    </xf>
    <xf numFmtId="167" fontId="7" fillId="6" borderId="14" applyAlignment="1" pivotButton="0" quotePrefix="0" xfId="0">
      <alignment horizontal="center"/>
    </xf>
    <xf numFmtId="168" fontId="6" fillId="6" borderId="13" pivotButton="0" quotePrefix="0" xfId="0"/>
    <xf numFmtId="166" fontId="6" fillId="6" borderId="14" pivotButton="0" quotePrefix="0" xfId="0"/>
    <xf numFmtId="169" fontId="6" fillId="6" borderId="13" pivotButton="0" quotePrefix="0" xfId="0"/>
    <xf numFmtId="165" fontId="6" fillId="6" borderId="13" pivotButton="0" quotePrefix="0" xfId="0"/>
    <xf numFmtId="168" fontId="6" fillId="6" borderId="14" pivotButton="0" quotePrefix="0" xfId="0"/>
    <xf numFmtId="170" fontId="7" fillId="7" borderId="15" applyAlignment="1" pivotButton="0" quotePrefix="0" xfId="0">
      <alignment horizontal="center"/>
    </xf>
    <xf numFmtId="169" fontId="7" fillId="7" borderId="16" applyAlignment="1" pivotButton="0" quotePrefix="0" xfId="0">
      <alignment horizontal="center"/>
    </xf>
    <xf numFmtId="170" fontId="7" fillId="7" borderId="17" applyAlignment="1" pivotButton="0" quotePrefix="0" xfId="0">
      <alignment horizontal="center"/>
    </xf>
    <xf numFmtId="169" fontId="7" fillId="7" borderId="18" applyAlignment="1" pivotButton="0" quotePrefix="0" xfId="0">
      <alignment horizontal="center"/>
    </xf>
    <xf numFmtId="167" fontId="6" fillId="8" borderId="12" pivotButton="0" quotePrefix="0" xfId="0"/>
    <xf numFmtId="166" fontId="6" fillId="8" borderId="13" pivotButton="0" quotePrefix="0" xfId="0"/>
    <xf numFmtId="165" fontId="6" fillId="8" borderId="14" pivotButton="0" quotePrefix="0" xfId="0"/>
    <xf numFmtId="164" fontId="6" fillId="8" borderId="13" pivotButton="0" quotePrefix="0" xfId="0"/>
    <xf numFmtId="164" fontId="6" fillId="8" borderId="14" pivotButton="0" quotePrefix="0" xfId="0"/>
    <xf numFmtId="167" fontId="6" fillId="8" borderId="13" pivotButton="0" quotePrefix="0" xfId="0"/>
    <xf numFmtId="0" fontId="6" fillId="8" borderId="13" pivotButton="0" quotePrefix="0" xfId="0"/>
    <xf numFmtId="168" fontId="6" fillId="8" borderId="13" pivotButton="0" quotePrefix="0" xfId="0"/>
    <xf numFmtId="166" fontId="6" fillId="8" borderId="14" pivotButton="0" quotePrefix="0" xfId="0"/>
    <xf numFmtId="169" fontId="6" fillId="8" borderId="13" pivotButton="0" quotePrefix="0" xfId="0"/>
    <xf numFmtId="165" fontId="6" fillId="8" borderId="13" pivotButton="0" quotePrefix="0" xfId="0"/>
    <xf numFmtId="168" fontId="6" fillId="8" borderId="19" pivotButton="0" quotePrefix="0" xfId="0"/>
    <xf numFmtId="0" fontId="8" fillId="3" borderId="20" applyAlignment="1" pivotButton="0" quotePrefix="0" xfId="0">
      <alignment horizontal="center"/>
    </xf>
    <xf numFmtId="0" fontId="3" fillId="0" borderId="20" pivotButton="0" quotePrefix="0" xfId="0"/>
    <xf numFmtId="0" fontId="8" fillId="3" borderId="21" applyAlignment="1" pivotButton="0" quotePrefix="0" xfId="0">
      <alignment horizontal="center"/>
    </xf>
    <xf numFmtId="0" fontId="3" fillId="0" borderId="11" pivotButton="0" quotePrefix="0" xfId="0"/>
    <xf numFmtId="167" fontId="6" fillId="6" borderId="12" pivotButton="0" quotePrefix="0" xfId="0"/>
    <xf numFmtId="0" fontId="5" fillId="5" borderId="15" applyAlignment="1" pivotButton="0" quotePrefix="0" xfId="0">
      <alignment horizontal="center"/>
    </xf>
    <xf numFmtId="0" fontId="5" fillId="5" borderId="16" applyAlignment="1" pivotButton="0" quotePrefix="0" xfId="0">
      <alignment horizontal="center"/>
    </xf>
    <xf numFmtId="171" fontId="6" fillId="8" borderId="13" pivotButton="0" quotePrefix="0" xfId="0"/>
    <xf numFmtId="168" fontId="6" fillId="8" borderId="14" pivotButton="0" quotePrefix="0" xfId="0"/>
    <xf numFmtId="170" fontId="7" fillId="7" borderId="10" applyAlignment="1" pivotButton="0" quotePrefix="0" xfId="0">
      <alignment horizontal="center"/>
    </xf>
    <xf numFmtId="169" fontId="7" fillId="7" borderId="11" applyAlignment="1" pivotButton="0" quotePrefix="0" xfId="0">
      <alignment horizontal="center"/>
    </xf>
    <xf numFmtId="0" fontId="8" fillId="3" borderId="10" applyAlignment="1" pivotButton="0" quotePrefix="1" xfId="0">
      <alignment horizontal="center"/>
    </xf>
    <xf numFmtId="0" fontId="8" fillId="3" borderId="11" applyAlignment="1" pivotButton="0" quotePrefix="1" xfId="0">
      <alignment horizontal="center"/>
    </xf>
    <xf numFmtId="0" fontId="6" fillId="0" borderId="0" applyAlignment="1" pivotButton="0" quotePrefix="0" xfId="0">
      <alignment vertical="bottom"/>
    </xf>
    <xf numFmtId="169" fontId="7" fillId="7" borderId="22" applyAlignment="1" pivotButton="0" quotePrefix="0" xfId="0">
      <alignment horizontal="center"/>
    </xf>
    <xf numFmtId="169" fontId="7" fillId="7" borderId="23" applyAlignment="1" pivotButton="0" quotePrefix="0" xfId="0">
      <alignment horizontal="center"/>
    </xf>
    <xf numFmtId="168" fontId="6" fillId="6" borderId="19" pivotButton="0" quotePrefix="0" xfId="0"/>
    <xf numFmtId="169" fontId="7" fillId="9" borderId="21" applyAlignment="1" pivotButton="0" quotePrefix="0" xfId="0">
      <alignment horizontal="center"/>
    </xf>
    <xf numFmtId="167" fontId="6" fillId="8" borderId="24" pivotButton="0" quotePrefix="0" xfId="0"/>
    <xf numFmtId="165" fontId="6" fillId="8" borderId="25" pivotButton="0" quotePrefix="0" xfId="0"/>
    <xf numFmtId="164" fontId="6" fillId="8" borderId="26" pivotButton="0" quotePrefix="0" xfId="0"/>
    <xf numFmtId="164" fontId="6" fillId="8" borderId="25" pivotButton="0" quotePrefix="0" xfId="0"/>
    <xf numFmtId="164" fontId="6" fillId="8" borderId="27" pivotButton="0" quotePrefix="0" xfId="0"/>
    <xf numFmtId="164" fontId="6" fillId="8" borderId="28" pivotButton="0" quotePrefix="0" xfId="0"/>
    <xf numFmtId="167" fontId="6" fillId="8" borderId="26" pivotButton="0" quotePrefix="0" xfId="0"/>
    <xf numFmtId="166" fontId="6" fillId="8" borderId="25" pivotButton="0" quotePrefix="0" xfId="0"/>
    <xf numFmtId="166" fontId="6" fillId="8" borderId="29" pivotButton="0" quotePrefix="0" xfId="0"/>
    <xf numFmtId="165" fontId="6" fillId="8" borderId="27" pivotButton="0" quotePrefix="0" xfId="0"/>
    <xf numFmtId="168" fontId="6" fillId="8" borderId="29" pivotButton="0" quotePrefix="0" xfId="0"/>
    <xf numFmtId="167" fontId="6" fillId="6" borderId="24" pivotButton="0" quotePrefix="0" xfId="0"/>
    <xf numFmtId="165" fontId="6" fillId="6" borderId="25" pivotButton="0" quotePrefix="0" xfId="0"/>
    <xf numFmtId="164" fontId="6" fillId="6" borderId="26" pivotButton="0" quotePrefix="0" xfId="0"/>
    <xf numFmtId="164" fontId="6" fillId="6" borderId="25" pivotButton="0" quotePrefix="0" xfId="0"/>
    <xf numFmtId="164" fontId="6" fillId="6" borderId="27" pivotButton="0" quotePrefix="0" xfId="0"/>
    <xf numFmtId="164" fontId="6" fillId="6" borderId="28" pivotButton="0" quotePrefix="0" xfId="0"/>
    <xf numFmtId="167" fontId="6" fillId="6" borderId="26" pivotButton="0" quotePrefix="0" xfId="0"/>
    <xf numFmtId="171" fontId="6" fillId="6" borderId="13" pivotButton="0" quotePrefix="0" xfId="0"/>
    <xf numFmtId="166" fontId="6" fillId="6" borderId="25" pivotButton="0" quotePrefix="0" xfId="0"/>
    <xf numFmtId="166" fontId="6" fillId="6" borderId="29" pivotButton="0" quotePrefix="0" xfId="0"/>
    <xf numFmtId="165" fontId="6" fillId="6" borderId="27" pivotButton="0" quotePrefix="0" xfId="0"/>
    <xf numFmtId="166" fontId="6" fillId="8" borderId="27" pivotButton="0" quotePrefix="0" xfId="0"/>
    <xf numFmtId="14" fontId="6" fillId="0" borderId="0" applyAlignment="1" pivotButton="0" quotePrefix="0" xfId="0">
      <alignment vertical="bottom"/>
    </xf>
    <xf numFmtId="171" fontId="6" fillId="0" borderId="0" applyAlignment="1" pivotButton="0" quotePrefix="0" xfId="0">
      <alignment vertical="bottom"/>
    </xf>
    <xf numFmtId="172" fontId="6" fillId="0" borderId="0" applyAlignment="1" pivotButton="0" quotePrefix="0" xfId="0">
      <alignment vertical="bottom"/>
    </xf>
    <xf numFmtId="0" fontId="4" fillId="6" borderId="19" applyAlignment="1" pivotButton="0" quotePrefix="0" xfId="0">
      <alignment horizontal="center"/>
    </xf>
    <xf numFmtId="166" fontId="4" fillId="6" borderId="14" applyAlignment="1" pivotButton="0" quotePrefix="0" xfId="0">
      <alignment horizontal="center"/>
    </xf>
    <xf numFmtId="165" fontId="6" fillId="8" borderId="12" pivotButton="0" quotePrefix="0" xfId="0"/>
    <xf numFmtId="165" fontId="6" fillId="8" borderId="24" pivotButton="0" quotePrefix="0" xfId="0"/>
    <xf numFmtId="0" fontId="4" fillId="8" borderId="19" applyAlignment="1" pivotButton="0" quotePrefix="0" xfId="0">
      <alignment horizontal="center"/>
    </xf>
    <xf numFmtId="166" fontId="4" fillId="8" borderId="14" applyAlignment="1" pivotButton="0" quotePrefix="0" xfId="0">
      <alignment horizontal="center"/>
    </xf>
    <xf numFmtId="165" fontId="6" fillId="6" borderId="24" pivotButton="0" quotePrefix="0" xfId="0"/>
    <xf numFmtId="171" fontId="6" fillId="6" borderId="19" pivotButton="0" quotePrefix="0" xfId="0"/>
    <xf numFmtId="168" fontId="6" fillId="6" borderId="29" pivotButton="0" quotePrefix="0" xfId="0"/>
    <xf numFmtId="0" fontId="6" fillId="0" borderId="0" pivotButton="0" quotePrefix="0" xfId="0"/>
    <xf numFmtId="165" fontId="6" fillId="8" borderId="30" pivotButton="0" quotePrefix="0" xfId="0"/>
    <xf numFmtId="166" fontId="6" fillId="8" borderId="31" pivotButton="0" quotePrefix="0" xfId="0"/>
    <xf numFmtId="165" fontId="6" fillId="8" borderId="32" pivotButton="0" quotePrefix="0" xfId="0"/>
    <xf numFmtId="164" fontId="6" fillId="8" borderId="33" pivotButton="0" quotePrefix="0" xfId="0"/>
    <xf numFmtId="166" fontId="6" fillId="8" borderId="34" pivotButton="0" quotePrefix="0" xfId="0"/>
    <xf numFmtId="164" fontId="6" fillId="8" borderId="35" pivotButton="0" quotePrefix="0" xfId="0"/>
    <xf numFmtId="164" fontId="6" fillId="8" borderId="31" pivotButton="0" quotePrefix="0" xfId="0"/>
    <xf numFmtId="164" fontId="6" fillId="8" borderId="32" pivotButton="0" quotePrefix="0" xfId="0"/>
    <xf numFmtId="166" fontId="6" fillId="8" borderId="33" pivotButton="0" quotePrefix="0" xfId="0"/>
    <xf numFmtId="167" fontId="6" fillId="8" borderId="31" pivotButton="0" quotePrefix="0" xfId="0"/>
    <xf numFmtId="0" fontId="6" fillId="8" borderId="31" pivotButton="0" quotePrefix="0" xfId="0"/>
    <xf numFmtId="165" fontId="6" fillId="8" borderId="35" pivotButton="0" quotePrefix="0" xfId="0"/>
    <xf numFmtId="168" fontId="6" fillId="8" borderId="31" pivotButton="0" quotePrefix="0" xfId="0"/>
    <xf numFmtId="166" fontId="6" fillId="8" borderId="32" pivotButton="0" quotePrefix="0" xfId="0"/>
    <xf numFmtId="171" fontId="6" fillId="8" borderId="31" pivotButton="0" quotePrefix="0" xfId="0"/>
    <xf numFmtId="165" fontId="6" fillId="8" borderId="31" pivotButton="0" quotePrefix="0" xfId="0"/>
    <xf numFmtId="168" fontId="6" fillId="8" borderId="32" pivotButton="0" quotePrefix="0" xfId="0"/>
    <xf numFmtId="0" fontId="9" fillId="5" borderId="36" applyAlignment="1" pivotButton="0" quotePrefix="0" xfId="0">
      <alignment horizontal="center"/>
    </xf>
    <xf numFmtId="0" fontId="3" fillId="0" borderId="32" pivotButton="0" quotePrefix="0" xfId="0"/>
    <xf numFmtId="0" fontId="9" fillId="5" borderId="17" applyAlignment="1" pivotButton="0" quotePrefix="0" xfId="0">
      <alignment horizontal="center"/>
    </xf>
    <xf numFmtId="0" fontId="9" fillId="5" borderId="2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173" fontId="9" fillId="5" borderId="0" applyAlignment="1" pivotButton="0" quotePrefix="0" xfId="0">
      <alignment horizontal="center"/>
    </xf>
    <xf numFmtId="172" fontId="7" fillId="10" borderId="37" applyAlignment="1" pivotButton="0" quotePrefix="0" xfId="0">
      <alignment horizontal="center"/>
    </xf>
    <xf numFmtId="174" fontId="6" fillId="10" borderId="38" pivotButton="0" quotePrefix="0" xfId="0"/>
    <xf numFmtId="170" fontId="7" fillId="10" borderId="32" applyAlignment="1" pivotButton="0" quotePrefix="0" xfId="0">
      <alignment horizontal="center"/>
    </xf>
    <xf numFmtId="164" fontId="7" fillId="10" borderId="38" applyAlignment="1" pivotButton="0" quotePrefix="0" xfId="0">
      <alignment horizontal="center"/>
    </xf>
    <xf numFmtId="175" fontId="7" fillId="10" borderId="38" applyAlignment="1" pivotButton="0" quotePrefix="0" xfId="0">
      <alignment horizontal="center"/>
    </xf>
    <xf numFmtId="164" fontId="7" fillId="10" borderId="32" applyAlignment="1" pivotButton="0" quotePrefix="0" xfId="0">
      <alignment horizontal="center"/>
    </xf>
    <xf numFmtId="175" fontId="7" fillId="10" borderId="32" applyAlignment="1" pivotButton="0" quotePrefix="0" xfId="0">
      <alignment horizontal="center"/>
    </xf>
    <xf numFmtId="175" fontId="6" fillId="10" borderId="38" pivotButton="0" quotePrefix="0" xfId="0"/>
    <xf numFmtId="167" fontId="7" fillId="10" borderId="38" applyAlignment="1" pivotButton="0" quotePrefix="0" xfId="0">
      <alignment horizontal="center"/>
    </xf>
    <xf numFmtId="168" fontId="10" fillId="11" borderId="38" applyAlignment="1" pivotButton="0" quotePrefix="0" xfId="0">
      <alignment horizontal="center"/>
    </xf>
    <xf numFmtId="0" fontId="11" fillId="11" borderId="32" applyAlignment="1" pivotButton="0" quotePrefix="0" xfId="0">
      <alignment horizontal="center"/>
    </xf>
    <xf numFmtId="0" fontId="6" fillId="12" borderId="37" pivotButton="0" quotePrefix="0" xfId="0"/>
    <xf numFmtId="0" fontId="6" fillId="12" borderId="38" pivotButton="0" quotePrefix="0" xfId="0"/>
    <xf numFmtId="0" fontId="6" fillId="12" borderId="32" pivotButton="0" quotePrefix="0" xfId="0"/>
    <xf numFmtId="164" fontId="7" fillId="12" borderId="38" applyAlignment="1" pivotButton="0" quotePrefix="0" xfId="0">
      <alignment horizontal="center"/>
    </xf>
    <xf numFmtId="164" fontId="6" fillId="12" borderId="32" pivotButton="0" quotePrefix="0" xfId="0"/>
    <xf numFmtId="169" fontId="12" fillId="12" borderId="38" applyAlignment="1" pivotButton="0" quotePrefix="0" xfId="0">
      <alignment horizontal="center"/>
    </xf>
    <xf numFmtId="0" fontId="7" fillId="12" borderId="32" applyAlignment="1" pivotButton="0" quotePrefix="0" xfId="0">
      <alignment horizontal="center"/>
    </xf>
    <xf numFmtId="169" fontId="12" fillId="10" borderId="39" applyAlignment="1" pivotButton="0" quotePrefix="0" xfId="0">
      <alignment horizontal="center"/>
    </xf>
    <xf numFmtId="0" fontId="6" fillId="10" borderId="40" pivotButton="0" quotePrefix="0" xfId="0"/>
    <xf numFmtId="0" fontId="6" fillId="10" borderId="39" pivotButton="0" quotePrefix="0" xfId="0"/>
    <xf numFmtId="0" fontId="6" fillId="10" borderId="41" pivotButton="0" quotePrefix="0" xfId="0"/>
    <xf numFmtId="169" fontId="7" fillId="10" borderId="39" applyAlignment="1" pivotButton="0" quotePrefix="0" xfId="0">
      <alignment horizontal="center"/>
    </xf>
    <xf numFmtId="0" fontId="7" fillId="10" borderId="41" applyAlignment="1" pivotButton="0" quotePrefix="0" xfId="0">
      <alignment horizontal="center"/>
    </xf>
    <xf numFmtId="169" fontId="6" fillId="10" borderId="39" pivotButton="0" quotePrefix="0" xfId="0"/>
    <xf numFmtId="168" fontId="7" fillId="10" borderId="39" applyAlignment="1" pivotButton="0" quotePrefix="0" xfId="0">
      <alignment horizontal="center"/>
    </xf>
    <xf numFmtId="168" fontId="6" fillId="0" borderId="0" applyAlignment="1" pivotButton="0" quotePrefix="0" xfId="0">
      <alignment vertical="bottom"/>
    </xf>
    <xf numFmtId="170" fontId="6" fillId="0" borderId="0" pivotButton="0" quotePrefix="0" xfId="0"/>
    <xf numFmtId="168" fontId="6" fillId="0" borderId="0" pivotButton="0" quotePrefix="0" xfId="0"/>
    <xf numFmtId="0" fontId="6" fillId="0" borderId="42" applyAlignment="1" pivotButton="0" quotePrefix="0" xfId="0">
      <alignment vertical="bottom"/>
    </xf>
    <xf numFmtId="167" fontId="6" fillId="0" borderId="0" applyAlignment="1" pivotButton="0" quotePrefix="0" xfId="0">
      <alignment vertical="bottom"/>
    </xf>
    <xf numFmtId="168" fontId="11" fillId="11" borderId="42" applyAlignment="1" pivotButton="0" quotePrefix="0" xfId="0">
      <alignment horizontal="center"/>
    </xf>
    <xf numFmtId="0" fontId="13" fillId="13" borderId="1" pivotButton="0" quotePrefix="0" xfId="0"/>
    <xf numFmtId="21" fontId="13" fillId="0" borderId="0" pivotButton="0" quotePrefix="0" xfId="0"/>
    <xf numFmtId="176" fontId="13" fillId="0" borderId="0" pivotButton="0" quotePrefix="0" xfId="0"/>
    <xf numFmtId="21" fontId="3" fillId="0" borderId="0" pivotButton="0" quotePrefix="0" xfId="0"/>
    <xf numFmtId="0" fontId="0" fillId="0" borderId="0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/>
    </xf>
    <xf numFmtId="0" fontId="0" fillId="0" borderId="6" pivotButton="0" quotePrefix="0" xfId="0"/>
    <xf numFmtId="0" fontId="0" fillId="0" borderId="20" pivotButton="0" quotePrefix="0" xfId="0"/>
    <xf numFmtId="0" fontId="8" fillId="3" borderId="11" applyAlignment="1" pivotButton="0" quotePrefix="0" xfId="0">
      <alignment horizontal="center"/>
    </xf>
    <xf numFmtId="0" fontId="0" fillId="0" borderId="11" pivotButton="0" quotePrefix="0" xfId="0"/>
    <xf numFmtId="169" fontId="7" fillId="9" borderId="11" applyAlignment="1" pivotButton="0" quotePrefix="0" xfId="0">
      <alignment horizontal="center"/>
    </xf>
    <xf numFmtId="0" fontId="9" fillId="5" borderId="43" applyAlignment="1" pivotButton="0" quotePrefix="0" xfId="0">
      <alignment horizontal="center"/>
    </xf>
    <xf numFmtId="0" fontId="0" fillId="0" borderId="32" pivotButton="0" quotePrefix="0" xfId="0"/>
    <xf numFmtId="0" fontId="9" fillId="5" borderId="32" applyAlignment="1" pivotButton="0" quotePrefix="0" xfId="0">
      <alignment horizontal="center"/>
    </xf>
    <xf numFmtId="173" fontId="9" fillId="5" borderId="32" applyAlignment="1" pivotButton="0" quotePrefix="0" xfId="0">
      <alignment horizontal="center"/>
    </xf>
    <xf numFmtId="21" fontId="0" fillId="0" borderId="0" pivotButton="0" quotePrefix="0" xfId="0"/>
    <xf numFmtId="176" fontId="0" fillId="0" borderId="0" pivotButton="0" quotePrefix="0" xfId="0"/>
    <xf numFmtId="0" fontId="0" fillId="14" borderId="0" applyAlignment="1" pivotButton="0" quotePrefix="0" xfId="0">
      <alignment vertical="bottom"/>
    </xf>
    <xf numFmtId="0" fontId="0" fillId="1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59" min="1" max="14"/>
  </cols>
  <sheetData>
    <row r="1">
      <c r="A1" s="0" t="inlineStr">
        <is>
          <t>Měsíční výkaz práce - [Měsíc] 2025</t>
        </is>
      </c>
    </row>
    <row r="2">
      <c r="A2" s="1" t="inlineStr">
        <is>
          <t>Den</t>
        </is>
      </c>
      <c r="B2" s="1" t="inlineStr">
        <is>
          <t>Datum</t>
        </is>
      </c>
      <c r="C2" s="1" t="inlineStr">
        <is>
          <t>Den v týdnu</t>
        </is>
      </c>
      <c r="D2" s="1" t="inlineStr">
        <is>
          <t>Svátek</t>
        </is>
      </c>
      <c r="E2" s="1" t="inlineStr">
        <is>
          <t>Začátek</t>
        </is>
      </c>
      <c r="F2" s="1" t="inlineStr">
        <is>
          <t>Oběd (h)</t>
        </is>
      </c>
      <c r="G2" s="1" t="inlineStr">
        <is>
          <t>Konec</t>
        </is>
      </c>
      <c r="H2" s="1" t="inlineStr">
        <is>
          <t>Celkem hodin</t>
        </is>
      </c>
      <c r="I2" s="1" t="inlineStr">
        <is>
          <t>Přesčasy</t>
        </is>
      </c>
      <c r="J2" s="1" t="inlineStr">
        <is>
          <t>Noční práce</t>
        </is>
      </c>
      <c r="K2" s="1" t="inlineStr">
        <is>
          <t>Víkend</t>
        </is>
      </c>
      <c r="L2" s="1" t="inlineStr">
        <is>
          <t>Svátky</t>
        </is>
      </c>
      <c r="M2" s="1" t="inlineStr">
        <is>
          <t>Zaměstnanci</t>
        </is>
      </c>
      <c r="N2" s="1" t="inlineStr">
        <is>
          <t>Celkem odpracováno</t>
        </is>
      </c>
    </row>
    <row r="3">
      <c r="A3" s="0" t="n">
        <v>1</v>
      </c>
      <c r="H3" s="0">
        <f>IF(AND(E3&lt;&gt;"",G3&lt;&gt;""),(G3-E3)*24-F3,0)</f>
        <v/>
      </c>
      <c r="I3" s="0">
        <f>MAX(0,H3-8)</f>
        <v/>
      </c>
      <c r="N3" s="0">
        <f>H3*M3</f>
        <v/>
      </c>
    </row>
    <row r="4">
      <c r="A4" s="0" t="n">
        <v>2</v>
      </c>
      <c r="H4" s="0">
        <f>IF(AND(E4&lt;&gt;"",G4&lt;&gt;""),(G4-E4)*24-F4,0)</f>
        <v/>
      </c>
      <c r="I4" s="0">
        <f>MAX(0,H4-8)</f>
        <v/>
      </c>
      <c r="N4" s="0">
        <f>H4*M4</f>
        <v/>
      </c>
    </row>
    <row r="5">
      <c r="A5" s="0" t="n">
        <v>3</v>
      </c>
      <c r="H5" s="0">
        <f>IF(AND(E5&lt;&gt;"",G5&lt;&gt;""),(G5-E5)*24-F5,0)</f>
        <v/>
      </c>
      <c r="I5" s="0">
        <f>MAX(0,H5-8)</f>
        <v/>
      </c>
      <c r="N5" s="0">
        <f>H5*M5</f>
        <v/>
      </c>
    </row>
    <row r="6">
      <c r="A6" s="0" t="n">
        <v>4</v>
      </c>
      <c r="H6" s="0">
        <f>IF(AND(E6&lt;&gt;"",G6&lt;&gt;""),(G6-E6)*24-F6,0)</f>
        <v/>
      </c>
      <c r="I6" s="0">
        <f>MAX(0,H6-8)</f>
        <v/>
      </c>
      <c r="N6" s="0">
        <f>H6*M6</f>
        <v/>
      </c>
    </row>
    <row r="7">
      <c r="A7" s="0" t="n">
        <v>5</v>
      </c>
      <c r="H7" s="0">
        <f>IF(AND(E7&lt;&gt;"",G7&lt;&gt;""),(G7-E7)*24-F7,0)</f>
        <v/>
      </c>
      <c r="I7" s="0">
        <f>MAX(0,H7-8)</f>
        <v/>
      </c>
      <c r="N7" s="0">
        <f>H7*M7</f>
        <v/>
      </c>
    </row>
    <row r="8">
      <c r="A8" s="0" t="n">
        <v>6</v>
      </c>
      <c r="H8" s="0">
        <f>IF(AND(E8&lt;&gt;"",G8&lt;&gt;""),(G8-E8)*24-F8,0)</f>
        <v/>
      </c>
      <c r="I8" s="0">
        <f>MAX(0,H8-8)</f>
        <v/>
      </c>
      <c r="N8" s="0">
        <f>H8*M8</f>
        <v/>
      </c>
    </row>
    <row r="9">
      <c r="A9" s="0" t="n">
        <v>7</v>
      </c>
      <c r="H9" s="0">
        <f>IF(AND(E9&lt;&gt;"",G9&lt;&gt;""),(G9-E9)*24-F9,0)</f>
        <v/>
      </c>
      <c r="I9" s="0">
        <f>MAX(0,H9-8)</f>
        <v/>
      </c>
      <c r="N9" s="0">
        <f>H9*M9</f>
        <v/>
      </c>
    </row>
    <row r="10">
      <c r="A10" s="0" t="n">
        <v>8</v>
      </c>
      <c r="H10" s="0">
        <f>IF(AND(E10&lt;&gt;"",G10&lt;&gt;""),(G10-E10)*24-F10,0)</f>
        <v/>
      </c>
      <c r="I10" s="0">
        <f>MAX(0,H10-8)</f>
        <v/>
      </c>
      <c r="N10" s="0">
        <f>H10*M10</f>
        <v/>
      </c>
    </row>
    <row r="11">
      <c r="A11" s="0" t="n">
        <v>9</v>
      </c>
      <c r="H11" s="0">
        <f>IF(AND(E11&lt;&gt;"",G11&lt;&gt;""),(G11-E11)*24-F11,0)</f>
        <v/>
      </c>
      <c r="I11" s="0">
        <f>MAX(0,H11-8)</f>
        <v/>
      </c>
      <c r="N11" s="0">
        <f>H11*M11</f>
        <v/>
      </c>
    </row>
    <row r="12">
      <c r="A12" s="0" t="n">
        <v>10</v>
      </c>
      <c r="H12" s="0">
        <f>IF(AND(E12&lt;&gt;"",G12&lt;&gt;""),(G12-E12)*24-F12,0)</f>
        <v/>
      </c>
      <c r="I12" s="0">
        <f>MAX(0,H12-8)</f>
        <v/>
      </c>
      <c r="N12" s="0">
        <f>H12*M12</f>
        <v/>
      </c>
    </row>
    <row r="13">
      <c r="A13" s="0" t="n">
        <v>11</v>
      </c>
      <c r="H13" s="0">
        <f>IF(AND(E13&lt;&gt;"",G13&lt;&gt;""),(G13-E13)*24-F13,0)</f>
        <v/>
      </c>
      <c r="I13" s="0">
        <f>MAX(0,H13-8)</f>
        <v/>
      </c>
      <c r="N13" s="0">
        <f>H13*M13</f>
        <v/>
      </c>
    </row>
    <row r="14">
      <c r="A14" s="0" t="n">
        <v>12</v>
      </c>
      <c r="H14" s="0">
        <f>IF(AND(E14&lt;&gt;"",G14&lt;&gt;""),(G14-E14)*24-F14,0)</f>
        <v/>
      </c>
      <c r="I14" s="0">
        <f>MAX(0,H14-8)</f>
        <v/>
      </c>
      <c r="N14" s="0">
        <f>H14*M14</f>
        <v/>
      </c>
    </row>
    <row r="15">
      <c r="A15" s="0" t="n">
        <v>13</v>
      </c>
      <c r="H15" s="0">
        <f>IF(AND(E15&lt;&gt;"",G15&lt;&gt;""),(G15-E15)*24-F15,0)</f>
        <v/>
      </c>
      <c r="I15" s="0">
        <f>MAX(0,H15-8)</f>
        <v/>
      </c>
      <c r="N15" s="0">
        <f>H15*M15</f>
        <v/>
      </c>
    </row>
    <row r="16">
      <c r="A16" s="0" t="n">
        <v>14</v>
      </c>
      <c r="H16" s="0">
        <f>IF(AND(E16&lt;&gt;"",G16&lt;&gt;""),(G16-E16)*24-F16,0)</f>
        <v/>
      </c>
      <c r="I16" s="0">
        <f>MAX(0,H16-8)</f>
        <v/>
      </c>
      <c r="N16" s="0">
        <f>H16*M16</f>
        <v/>
      </c>
    </row>
    <row r="17">
      <c r="A17" s="0" t="n">
        <v>15</v>
      </c>
      <c r="H17" s="0">
        <f>IF(AND(E17&lt;&gt;"",G17&lt;&gt;""),(G17-E17)*24-F17,0)</f>
        <v/>
      </c>
      <c r="I17" s="0">
        <f>MAX(0,H17-8)</f>
        <v/>
      </c>
      <c r="N17" s="0">
        <f>H17*M17</f>
        <v/>
      </c>
    </row>
    <row r="18">
      <c r="A18" s="0" t="n">
        <v>16</v>
      </c>
      <c r="H18" s="0">
        <f>IF(AND(E18&lt;&gt;"",G18&lt;&gt;""),(G18-E18)*24-F18,0)</f>
        <v/>
      </c>
      <c r="I18" s="0">
        <f>MAX(0,H18-8)</f>
        <v/>
      </c>
      <c r="N18" s="0">
        <f>H18*M18</f>
        <v/>
      </c>
    </row>
    <row r="19">
      <c r="A19" s="0" t="n">
        <v>17</v>
      </c>
      <c r="H19" s="0">
        <f>IF(AND(E19&lt;&gt;"",G19&lt;&gt;""),(G19-E19)*24-F19,0)</f>
        <v/>
      </c>
      <c r="I19" s="0">
        <f>MAX(0,H19-8)</f>
        <v/>
      </c>
      <c r="N19" s="0">
        <f>H19*M19</f>
        <v/>
      </c>
    </row>
    <row r="20">
      <c r="A20" s="0" t="n">
        <v>18</v>
      </c>
      <c r="H20" s="0">
        <f>IF(AND(E20&lt;&gt;"",G20&lt;&gt;""),(G20-E20)*24-F20,0)</f>
        <v/>
      </c>
      <c r="I20" s="0">
        <f>MAX(0,H20-8)</f>
        <v/>
      </c>
      <c r="N20" s="0">
        <f>H20*M20</f>
        <v/>
      </c>
    </row>
    <row r="21" ht="15.75" customHeight="1" s="159">
      <c r="A21" s="0" t="n">
        <v>19</v>
      </c>
      <c r="H21" s="0">
        <f>IF(AND(E21&lt;&gt;"",G21&lt;&gt;""),(G21-E21)*24-F21,0)</f>
        <v/>
      </c>
      <c r="I21" s="0">
        <f>MAX(0,H21-8)</f>
        <v/>
      </c>
      <c r="N21" s="0">
        <f>H21*M21</f>
        <v/>
      </c>
    </row>
    <row r="22" ht="15.75" customHeight="1" s="159">
      <c r="A22" s="0" t="n">
        <v>20</v>
      </c>
      <c r="H22" s="0">
        <f>IF(AND(E22&lt;&gt;"",G22&lt;&gt;""),(G22-E22)*24-F22,0)</f>
        <v/>
      </c>
      <c r="I22" s="0">
        <f>MAX(0,H22-8)</f>
        <v/>
      </c>
      <c r="N22" s="0">
        <f>H22*M22</f>
        <v/>
      </c>
    </row>
    <row r="23" ht="15.75" customHeight="1" s="159">
      <c r="A23" s="0" t="n">
        <v>21</v>
      </c>
      <c r="H23" s="0">
        <f>IF(AND(E23&lt;&gt;"",G23&lt;&gt;""),(G23-E23)*24-F23,0)</f>
        <v/>
      </c>
      <c r="I23" s="0">
        <f>MAX(0,H23-8)</f>
        <v/>
      </c>
      <c r="N23" s="0">
        <f>H23*M23</f>
        <v/>
      </c>
    </row>
    <row r="24" ht="15.75" customHeight="1" s="159">
      <c r="A24" s="0" t="n">
        <v>22</v>
      </c>
      <c r="H24" s="0">
        <f>IF(AND(E24&lt;&gt;"",G24&lt;&gt;""),(G24-E24)*24-F24,0)</f>
        <v/>
      </c>
      <c r="I24" s="0">
        <f>MAX(0,H24-8)</f>
        <v/>
      </c>
      <c r="N24" s="0">
        <f>H24*M24</f>
        <v/>
      </c>
    </row>
    <row r="25" ht="15.75" customHeight="1" s="159">
      <c r="A25" s="0" t="n">
        <v>23</v>
      </c>
      <c r="H25" s="0">
        <f>IF(AND(E25&lt;&gt;"",G25&lt;&gt;""),(G25-E25)*24-F25,0)</f>
        <v/>
      </c>
      <c r="I25" s="0">
        <f>MAX(0,H25-8)</f>
        <v/>
      </c>
      <c r="N25" s="0">
        <f>H25*M25</f>
        <v/>
      </c>
    </row>
    <row r="26" ht="15.75" customHeight="1" s="159">
      <c r="A26" s="0" t="n">
        <v>24</v>
      </c>
      <c r="H26" s="0">
        <f>IF(AND(E26&lt;&gt;"",G26&lt;&gt;""),(G26-E26)*24-F26,0)</f>
        <v/>
      </c>
      <c r="I26" s="0">
        <f>MAX(0,H26-8)</f>
        <v/>
      </c>
      <c r="N26" s="0">
        <f>H26*M26</f>
        <v/>
      </c>
    </row>
    <row r="27" ht="15.75" customHeight="1" s="159">
      <c r="A27" s="0" t="n">
        <v>25</v>
      </c>
      <c r="H27" s="0">
        <f>IF(AND(E27&lt;&gt;"",G27&lt;&gt;""),(G27-E27)*24-F27,0)</f>
        <v/>
      </c>
      <c r="I27" s="0">
        <f>MAX(0,H27-8)</f>
        <v/>
      </c>
      <c r="N27" s="0">
        <f>H27*M27</f>
        <v/>
      </c>
    </row>
    <row r="28" ht="15.75" customHeight="1" s="159">
      <c r="A28" s="0" t="n">
        <v>26</v>
      </c>
      <c r="H28" s="0">
        <f>IF(AND(E28&lt;&gt;"",G28&lt;&gt;""),(G28-E28)*24-F28,0)</f>
        <v/>
      </c>
      <c r="I28" s="0">
        <f>MAX(0,H28-8)</f>
        <v/>
      </c>
      <c r="N28" s="0">
        <f>H28*M28</f>
        <v/>
      </c>
    </row>
    <row r="29" ht="15.75" customHeight="1" s="159">
      <c r="A29" s="0" t="n">
        <v>27</v>
      </c>
      <c r="H29" s="0">
        <f>IF(AND(E29&lt;&gt;"",G29&lt;&gt;""),(G29-E29)*24-F29,0)</f>
        <v/>
      </c>
      <c r="I29" s="0">
        <f>MAX(0,H29-8)</f>
        <v/>
      </c>
      <c r="N29" s="0">
        <f>H29*M29</f>
        <v/>
      </c>
    </row>
    <row r="30" ht="15.75" customHeight="1" s="159">
      <c r="A30" s="0" t="n">
        <v>28</v>
      </c>
      <c r="H30" s="0">
        <f>IF(AND(E30&lt;&gt;"",G30&lt;&gt;""),(G30-E30)*24-F30,0)</f>
        <v/>
      </c>
      <c r="I30" s="0">
        <f>MAX(0,H30-8)</f>
        <v/>
      </c>
      <c r="N30" s="0">
        <f>H30*M30</f>
        <v/>
      </c>
    </row>
    <row r="31" ht="15.75" customHeight="1" s="159">
      <c r="A31" s="0" t="n">
        <v>29</v>
      </c>
      <c r="H31" s="0">
        <f>IF(AND(E31&lt;&gt;"",G31&lt;&gt;""),(G31-E31)*24-F31,0)</f>
        <v/>
      </c>
      <c r="I31" s="0">
        <f>MAX(0,H31-8)</f>
        <v/>
      </c>
      <c r="N31" s="0">
        <f>H31*M31</f>
        <v/>
      </c>
    </row>
    <row r="32" ht="15.75" customHeight="1" s="159">
      <c r="A32" s="0" t="n">
        <v>30</v>
      </c>
      <c r="H32" s="0">
        <f>IF(AND(E32&lt;&gt;"",G32&lt;&gt;""),(G32-E32)*24-F32,0)</f>
        <v/>
      </c>
      <c r="I32" s="0">
        <f>MAX(0,H32-8)</f>
        <v/>
      </c>
      <c r="N32" s="0">
        <f>H32*M32</f>
        <v/>
      </c>
    </row>
    <row r="33" ht="15.75" customHeight="1" s="159">
      <c r="A33" s="0" t="n">
        <v>31</v>
      </c>
      <c r="H33" s="0">
        <f>IF(AND(E33&lt;&gt;"",G33&lt;&gt;""),(G33-E33)*24-F33,0)</f>
        <v/>
      </c>
      <c r="I33" s="0">
        <f>MAX(0,H33-8)</f>
        <v/>
      </c>
      <c r="N33" s="0">
        <f>H33*M33</f>
        <v/>
      </c>
    </row>
    <row r="34" ht="15.75" customHeight="1" s="159">
      <c r="A34" s="0" t="inlineStr">
        <is>
          <t>SOUHRN:</t>
        </is>
      </c>
      <c r="H34" s="2">
        <f>SUM(H3:H33)</f>
        <v/>
      </c>
      <c r="I34" s="2">
        <f>SUM(I3:I33)</f>
        <v/>
      </c>
      <c r="N34" s="2">
        <f>SUM(N3:N33)</f>
        <v/>
      </c>
    </row>
    <row r="35" ht="15.75" customHeight="1" s="159"/>
    <row r="36" ht="15.75" customHeight="1" s="159"/>
    <row r="37" ht="15.75" customHeight="1" s="159"/>
    <row r="38" ht="15.75" customHeight="1" s="159"/>
    <row r="39" ht="15.75" customHeight="1" s="159"/>
    <row r="40" ht="15.75" customHeight="1" s="159"/>
    <row r="41" ht="15.75" customHeight="1" s="159"/>
    <row r="42" ht="15.75" customHeight="1" s="159"/>
    <row r="43" ht="15.75" customHeight="1" s="159"/>
    <row r="44" ht="15.75" customHeight="1" s="159"/>
    <row r="45" ht="15.75" customHeight="1" s="159"/>
    <row r="46" ht="15.75" customHeight="1" s="159"/>
    <row r="47" ht="15.75" customHeight="1" s="159"/>
    <row r="48" ht="15.75" customHeight="1" s="159"/>
    <row r="49" ht="15.75" customHeight="1" s="159"/>
    <row r="50" ht="15.75" customHeight="1" s="159"/>
    <row r="51" ht="15.75" customHeight="1" s="159"/>
    <row r="52" ht="15.75" customHeight="1" s="159"/>
    <row r="53" ht="15.75" customHeight="1" s="159"/>
    <row r="54" ht="15.75" customHeight="1" s="159"/>
    <row r="55" ht="15.75" customHeight="1" s="159"/>
    <row r="56" ht="15.75" customHeight="1" s="159"/>
    <row r="57" ht="15.75" customHeight="1" s="159"/>
    <row r="58" ht="15.75" customHeight="1" s="159"/>
    <row r="59" ht="15.75" customHeight="1" s="159"/>
    <row r="60" ht="15.75" customHeight="1" s="159"/>
    <row r="61" ht="15.75" customHeight="1" s="159"/>
    <row r="62" ht="15.75" customHeight="1" s="159"/>
    <row r="63" ht="15.75" customHeight="1" s="159"/>
    <row r="64" ht="15.75" customHeight="1" s="159"/>
    <row r="65" ht="15.75" customHeight="1" s="159"/>
    <row r="66" ht="15.75" customHeight="1" s="159"/>
    <row r="67" ht="15.75" customHeight="1" s="159"/>
    <row r="68" ht="15.75" customHeight="1" s="159"/>
    <row r="69" ht="15.75" customHeight="1" s="159"/>
    <row r="70" ht="15.75" customHeight="1" s="159"/>
    <row r="71" ht="15.75" customHeight="1" s="159"/>
    <row r="72" ht="15.75" customHeight="1" s="159"/>
    <row r="73" ht="15.75" customHeight="1" s="159"/>
    <row r="74" ht="15.75" customHeight="1" s="159"/>
    <row r="75" ht="15.75" customHeight="1" s="159"/>
    <row r="76" ht="15.75" customHeight="1" s="159"/>
    <row r="77" ht="15.75" customHeight="1" s="159"/>
    <row r="78" ht="15.75" customHeight="1" s="159"/>
    <row r="79" ht="15.75" customHeight="1" s="159"/>
    <row r="80" ht="15.75" customHeight="1" s="159"/>
    <row r="81" ht="15.75" customHeight="1" s="159"/>
    <row r="82" ht="15.75" customHeight="1" s="159"/>
    <row r="83" ht="15.75" customHeight="1" s="159"/>
    <row r="84" ht="15.75" customHeight="1" s="159"/>
    <row r="85" ht="15.75" customHeight="1" s="159"/>
    <row r="86" ht="15.75" customHeight="1" s="159"/>
    <row r="87" ht="15.75" customHeight="1" s="159"/>
    <row r="88" ht="15.75" customHeight="1" s="159"/>
    <row r="89" ht="15.75" customHeight="1" s="159"/>
    <row r="90" ht="15.75" customHeight="1" s="159"/>
    <row r="91" ht="15.75" customHeight="1" s="159"/>
    <row r="92" ht="15.75" customHeight="1" s="159"/>
    <row r="93" ht="15.75" customHeight="1" s="159"/>
    <row r="94" ht="15.75" customHeight="1" s="159"/>
    <row r="95" ht="15.75" customHeight="1" s="159"/>
    <row r="96" ht="15.75" customHeight="1" s="159"/>
    <row r="97" ht="15.75" customHeight="1" s="159"/>
    <row r="98" ht="15.75" customHeight="1" s="159"/>
    <row r="99" ht="15.75" customHeight="1" s="159"/>
    <row r="100" ht="15.75" customHeight="1" s="15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K7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" t="inlineStr">
        <is>
          <t xml:space="preserve"> CZE                 Nafta                 EURO</t>
        </is>
      </c>
      <c r="B1" s="160" t="n"/>
      <c r="C1" s="160" t="n"/>
      <c r="D1" s="160" t="n"/>
      <c r="E1" s="160" t="n"/>
      <c r="F1" s="160" t="n"/>
      <c r="G1" s="5" t="inlineStr">
        <is>
          <t>Peage</t>
        </is>
      </c>
      <c r="H1" s="160" t="n"/>
      <c r="I1" s="161" t="inlineStr">
        <is>
          <t>Ubytování</t>
        </is>
      </c>
      <c r="J1" s="160" t="n"/>
      <c r="K1" s="162" t="n"/>
      <c r="L1" s="161" t="inlineStr">
        <is>
          <t>Ostatní</t>
        </is>
      </c>
      <c r="M1" s="160" t="n"/>
      <c r="N1" s="162" t="n"/>
      <c r="O1" s="5" t="inlineStr">
        <is>
          <t>Čáp</t>
        </is>
      </c>
      <c r="P1" s="160" t="n"/>
      <c r="Q1" s="5" t="inlineStr">
        <is>
          <t>Zálohy  17.07.2024</t>
        </is>
      </c>
      <c r="R1" s="160" t="n"/>
      <c r="S1" s="160" t="n"/>
      <c r="T1" s="160" t="n"/>
      <c r="U1" s="160" t="n"/>
      <c r="V1" s="160" t="n"/>
      <c r="W1" s="160" t="n"/>
      <c r="X1" s="160" t="n"/>
      <c r="Y1" s="160" t="n"/>
      <c r="Z1" s="160" t="n"/>
      <c r="AA1" s="160" t="n"/>
      <c r="AB1" s="160" t="n"/>
      <c r="AC1" s="160" t="n"/>
      <c r="AD1" s="160" t="n"/>
      <c r="AE1" s="161" t="inlineStr">
        <is>
          <t>Bankomat</t>
        </is>
      </c>
      <c r="AF1" s="160" t="n"/>
      <c r="AG1" s="162" t="n"/>
      <c r="AH1" s="7" t="inlineStr">
        <is>
          <t>Hotovost u sebe</t>
        </is>
      </c>
      <c r="AI1" s="163" t="n"/>
      <c r="AJ1" s="164" t="inlineStr">
        <is>
          <t xml:space="preserve">Celkový výdaj </t>
        </is>
      </c>
      <c r="AK1" s="165" t="n"/>
    </row>
    <row r="2">
      <c r="A2" s="10" t="inlineStr">
        <is>
          <t>Kartou</t>
        </is>
      </c>
      <c r="B2" s="11" t="inlineStr">
        <is>
          <t>Datum</t>
        </is>
      </c>
      <c r="C2" s="12" t="inlineStr">
        <is>
          <t>Hotově</t>
        </is>
      </c>
      <c r="D2" s="11" t="inlineStr">
        <is>
          <t xml:space="preserve">Kartou </t>
        </is>
      </c>
      <c r="E2" s="11" t="inlineStr">
        <is>
          <t xml:space="preserve">Datum </t>
        </is>
      </c>
      <c r="F2" s="12" t="inlineStr">
        <is>
          <t xml:space="preserve">Hotově </t>
        </is>
      </c>
      <c r="G2" s="11" t="inlineStr">
        <is>
          <t xml:space="preserve">Hotově  </t>
        </is>
      </c>
      <c r="H2" s="12" t="inlineStr">
        <is>
          <t xml:space="preserve">Kartou  </t>
        </is>
      </c>
      <c r="I2" s="11" t="inlineStr">
        <is>
          <t xml:space="preserve">Hotově   </t>
        </is>
      </c>
      <c r="J2" s="11" t="inlineStr">
        <is>
          <t xml:space="preserve">Datum   </t>
        </is>
      </c>
      <c r="K2" s="12" t="inlineStr">
        <is>
          <t xml:space="preserve">Kartou   </t>
        </is>
      </c>
      <c r="L2" s="11" t="inlineStr">
        <is>
          <t>CZE</t>
        </is>
      </c>
      <c r="M2" s="11" t="inlineStr">
        <is>
          <t>POPIS</t>
        </is>
      </c>
      <c r="N2" s="12" t="inlineStr">
        <is>
          <t>EURO</t>
        </is>
      </c>
      <c r="O2" s="11" t="inlineStr">
        <is>
          <t xml:space="preserve">EURO </t>
        </is>
      </c>
      <c r="P2" s="12" t="inlineStr">
        <is>
          <t xml:space="preserve">CZE </t>
        </is>
      </c>
      <c r="Q2" s="11" t="inlineStr">
        <is>
          <t>Sloupec1</t>
        </is>
      </c>
      <c r="R2" s="12" t="inlineStr">
        <is>
          <t xml:space="preserve"> Datum</t>
        </is>
      </c>
      <c r="S2" s="13" t="inlineStr">
        <is>
          <t>Sloupec2</t>
        </is>
      </c>
      <c r="T2" s="12" t="inlineStr">
        <is>
          <t xml:space="preserve">  Datum</t>
        </is>
      </c>
      <c r="U2" s="11" t="inlineStr">
        <is>
          <t>Sloupec3</t>
        </is>
      </c>
      <c r="V2" s="12" t="inlineStr">
        <is>
          <t xml:space="preserve"> Datum </t>
        </is>
      </c>
      <c r="W2" s="11" t="inlineStr">
        <is>
          <t>Sloupec4</t>
        </is>
      </c>
      <c r="X2" s="12" t="inlineStr">
        <is>
          <t xml:space="preserve"> Datum  </t>
        </is>
      </c>
      <c r="Y2" s="11" t="inlineStr">
        <is>
          <t>Sloupec5</t>
        </is>
      </c>
      <c r="Z2" s="12" t="inlineStr">
        <is>
          <t xml:space="preserve">  Datum  </t>
        </is>
      </c>
      <c r="AA2" s="11" t="inlineStr">
        <is>
          <t>Sloupec6</t>
        </is>
      </c>
      <c r="AB2" s="12" t="inlineStr">
        <is>
          <t xml:space="preserve">  Datum </t>
        </is>
      </c>
      <c r="AC2" s="11" t="inlineStr">
        <is>
          <t>Sloupec7</t>
        </is>
      </c>
      <c r="AD2" s="12" t="inlineStr">
        <is>
          <t xml:space="preserve">  Datum   </t>
        </is>
      </c>
      <c r="AE2" s="11" t="inlineStr">
        <is>
          <t>CZE,</t>
        </is>
      </c>
      <c r="AF2" s="11" t="inlineStr">
        <is>
          <t xml:space="preserve">   DATUM </t>
        </is>
      </c>
      <c r="AG2" s="12" t="inlineStr">
        <is>
          <t>EURO,</t>
        </is>
      </c>
      <c r="AH2" s="14" t="inlineStr">
        <is>
          <t>CZE</t>
        </is>
      </c>
      <c r="AI2" s="15" t="inlineStr">
        <is>
          <t>EURO</t>
        </is>
      </c>
      <c r="AJ2" s="14" t="inlineStr">
        <is>
          <t>CZE</t>
        </is>
      </c>
      <c r="AK2" s="15" t="inlineStr">
        <is>
          <t>EURO</t>
        </is>
      </c>
    </row>
    <row r="3">
      <c r="A3" s="16" t="n"/>
      <c r="B3" s="17" t="n"/>
      <c r="C3" s="18" t="n"/>
      <c r="D3" s="19" t="n"/>
      <c r="E3" s="17" t="n"/>
      <c r="F3" s="20" t="n"/>
      <c r="G3" s="19" t="n"/>
      <c r="H3" s="20" t="n"/>
      <c r="I3" s="19" t="n"/>
      <c r="J3" s="17" t="n"/>
      <c r="K3" s="20" t="n"/>
      <c r="L3" s="21" t="n"/>
      <c r="M3" s="22" t="n"/>
      <c r="N3" s="20" t="n"/>
      <c r="O3" s="23">
        <f>AG44-AK6</f>
        <v/>
      </c>
      <c r="P3" s="24">
        <f>AE44-AJ6</f>
        <v/>
      </c>
      <c r="Q3" s="25" t="n"/>
      <c r="R3" s="26" t="n"/>
      <c r="S3" s="25" t="n"/>
      <c r="T3" s="26" t="n"/>
      <c r="U3" s="25" t="n"/>
      <c r="V3" s="26" t="n"/>
      <c r="W3" s="27" t="n"/>
      <c r="X3" s="26" t="n"/>
      <c r="Y3" s="27" t="n"/>
      <c r="Z3" s="26" t="n"/>
      <c r="AA3" s="25" t="n"/>
      <c r="AB3" s="26" t="n"/>
      <c r="AC3" s="27" t="n"/>
      <c r="AD3" s="26" t="n"/>
      <c r="AE3" s="28" t="n"/>
      <c r="AF3" s="17" t="n"/>
      <c r="AG3" s="29" t="n"/>
      <c r="AH3" s="30" t="n">
        <v>0</v>
      </c>
      <c r="AI3" s="31" t="n">
        <v>0</v>
      </c>
      <c r="AJ3" s="32">
        <f>AH6+AJ6</f>
        <v/>
      </c>
      <c r="AK3" s="33">
        <f>AK6+AI6</f>
        <v/>
      </c>
    </row>
    <row r="4">
      <c r="A4" s="34" t="n"/>
      <c r="B4" s="35" t="n"/>
      <c r="C4" s="36" t="n"/>
      <c r="D4" s="37" t="n"/>
      <c r="E4" s="35" t="n"/>
      <c r="F4" s="38" t="n"/>
      <c r="G4" s="37" t="n"/>
      <c r="H4" s="38" t="n"/>
      <c r="I4" s="37" t="n"/>
      <c r="J4" s="35" t="n"/>
      <c r="K4" s="38" t="n"/>
      <c r="L4" s="39" t="n"/>
      <c r="M4" s="40" t="n"/>
      <c r="N4" s="38" t="n"/>
      <c r="O4" s="37" t="n"/>
      <c r="P4" s="36" t="n"/>
      <c r="Q4" s="41" t="n"/>
      <c r="R4" s="42" t="n"/>
      <c r="S4" s="41" t="n"/>
      <c r="T4" s="42" t="n"/>
      <c r="U4" s="41" t="n"/>
      <c r="V4" s="42" t="n"/>
      <c r="W4" s="43" t="n"/>
      <c r="X4" s="42" t="n"/>
      <c r="Y4" s="43" t="n"/>
      <c r="Z4" s="42" t="n"/>
      <c r="AA4" s="41" t="n"/>
      <c r="AB4" s="42" t="n"/>
      <c r="AC4" s="43" t="n"/>
      <c r="AD4" s="42" t="n"/>
      <c r="AE4" s="44" t="n"/>
      <c r="AF4" s="35" t="n"/>
      <c r="AG4" s="45" t="n"/>
      <c r="AH4" s="46" t="inlineStr">
        <is>
          <t>Placeno kartou</t>
        </is>
      </c>
      <c r="AI4" s="166" t="n"/>
      <c r="AJ4" s="167" t="inlineStr">
        <is>
          <t xml:space="preserve">Placeno hotově </t>
        </is>
      </c>
      <c r="AK4" s="168" t="n"/>
    </row>
    <row r="5">
      <c r="A5" s="50" t="n"/>
      <c r="B5" s="17" t="n"/>
      <c r="C5" s="18" t="n"/>
      <c r="D5" s="19" t="n"/>
      <c r="E5" s="17" t="n"/>
      <c r="F5" s="20" t="n"/>
      <c r="G5" s="19" t="n"/>
      <c r="H5" s="20" t="n"/>
      <c r="I5" s="19" t="n"/>
      <c r="J5" s="17" t="n"/>
      <c r="K5" s="20" t="n"/>
      <c r="L5" s="21" t="n"/>
      <c r="M5" s="22" t="n"/>
      <c r="N5" s="20" t="n"/>
      <c r="O5" s="19" t="n"/>
      <c r="P5" s="18" t="n"/>
      <c r="Q5" s="25" t="n"/>
      <c r="R5" s="26" t="n"/>
      <c r="S5" s="25" t="n"/>
      <c r="T5" s="26" t="n"/>
      <c r="U5" s="25" t="n"/>
      <c r="V5" s="26" t="n"/>
      <c r="W5" s="27" t="n"/>
      <c r="X5" s="26" t="n"/>
      <c r="Y5" s="27" t="n"/>
      <c r="Z5" s="26" t="n"/>
      <c r="AA5" s="25" t="n"/>
      <c r="AB5" s="26" t="n"/>
      <c r="AC5" s="27" t="n"/>
      <c r="AD5" s="26" t="n"/>
      <c r="AE5" s="28" t="n"/>
      <c r="AF5" s="17" t="n"/>
      <c r="AG5" s="29" t="n"/>
      <c r="AH5" s="51" t="inlineStr">
        <is>
          <t>CZE</t>
        </is>
      </c>
      <c r="AI5" s="52" t="inlineStr">
        <is>
          <t>EURO</t>
        </is>
      </c>
      <c r="AJ5" s="51" t="inlineStr">
        <is>
          <t>CZE</t>
        </is>
      </c>
      <c r="AK5" s="52" t="inlineStr">
        <is>
          <t>EURO</t>
        </is>
      </c>
    </row>
    <row r="6">
      <c r="A6" s="34" t="n"/>
      <c r="B6" s="35" t="n"/>
      <c r="C6" s="36" t="n"/>
      <c r="D6" s="37" t="n"/>
      <c r="E6" s="35" t="n"/>
      <c r="F6" s="38" t="n"/>
      <c r="G6" s="37" t="n"/>
      <c r="H6" s="38" t="n"/>
      <c r="I6" s="37" t="n"/>
      <c r="J6" s="35" t="n"/>
      <c r="K6" s="38" t="n"/>
      <c r="L6" s="39" t="n"/>
      <c r="M6" s="40" t="n"/>
      <c r="N6" s="38" t="n"/>
      <c r="O6" s="37" t="n"/>
      <c r="P6" s="36" t="n"/>
      <c r="Q6" s="41" t="n"/>
      <c r="R6" s="42" t="n"/>
      <c r="S6" s="41" t="n"/>
      <c r="T6" s="42" t="n"/>
      <c r="U6" s="41" t="n"/>
      <c r="V6" s="42" t="n"/>
      <c r="W6" s="43" t="n"/>
      <c r="X6" s="42" t="n"/>
      <c r="Y6" s="43" t="n"/>
      <c r="Z6" s="42" t="n"/>
      <c r="AA6" s="41" t="n"/>
      <c r="AB6" s="42" t="n"/>
      <c r="AC6" s="53" t="n"/>
      <c r="AD6" s="42" t="n"/>
      <c r="AE6" s="44" t="n"/>
      <c r="AF6" s="35" t="n"/>
      <c r="AG6" s="54" t="n"/>
      <c r="AH6" s="55">
        <f>A44+L44</f>
        <v/>
      </c>
      <c r="AI6" s="56">
        <f>D44+H44+K44+N45</f>
        <v/>
      </c>
      <c r="AJ6" s="55">
        <f>L45+C44+U48+Q47</f>
        <v/>
      </c>
      <c r="AK6" s="56">
        <f>F44+G44+I44+M45+Q44+S44+W44+Y44+AA44+AC44+Y47+Y50+AA47+AA50+AC47+AC50+U44</f>
        <v/>
      </c>
    </row>
    <row r="7">
      <c r="A7" s="50" t="n"/>
      <c r="B7" s="17" t="n"/>
      <c r="C7" s="18" t="n"/>
      <c r="D7" s="19" t="n"/>
      <c r="E7" s="17" t="n"/>
      <c r="F7" s="20" t="n"/>
      <c r="G7" s="19" t="n"/>
      <c r="H7" s="20" t="n"/>
      <c r="I7" s="19" t="n"/>
      <c r="J7" s="17" t="n"/>
      <c r="K7" s="20" t="n"/>
      <c r="L7" s="21" t="n"/>
      <c r="M7" s="22" t="n"/>
      <c r="N7" s="20" t="n"/>
      <c r="O7" s="19" t="n"/>
      <c r="P7" s="18" t="n"/>
      <c r="Q7" s="19" t="n"/>
      <c r="R7" s="26" t="n"/>
      <c r="S7" s="25" t="n"/>
      <c r="T7" s="26" t="n"/>
      <c r="U7" s="25" t="n"/>
      <c r="V7" s="26" t="n"/>
      <c r="W7" s="27" t="n"/>
      <c r="X7" s="26" t="n"/>
      <c r="Y7" s="27" t="n"/>
      <c r="Z7" s="26" t="n"/>
      <c r="AA7" s="25" t="n"/>
      <c r="AB7" s="26" t="n"/>
      <c r="AC7" s="27" t="n"/>
      <c r="AD7" s="26" t="n"/>
      <c r="AE7" s="21" t="n"/>
      <c r="AF7" s="17" t="n"/>
      <c r="AG7" s="29" t="n"/>
      <c r="AH7" s="57" t="inlineStr">
        <is>
          <t>Monese (+)</t>
        </is>
      </c>
      <c r="AI7" s="58" t="inlineStr">
        <is>
          <t>Monese (-)</t>
        </is>
      </c>
      <c r="AJ7" s="59" t="n"/>
      <c r="AK7" s="59" t="n"/>
    </row>
    <row r="8">
      <c r="A8" s="34" t="n"/>
      <c r="B8" s="35" t="n"/>
      <c r="C8" s="36" t="n"/>
      <c r="D8" s="37" t="n"/>
      <c r="E8" s="35" t="n"/>
      <c r="F8" s="38" t="n"/>
      <c r="G8" s="37" t="n"/>
      <c r="H8" s="38" t="n"/>
      <c r="I8" s="37" t="n"/>
      <c r="J8" s="35" t="n"/>
      <c r="K8" s="38" t="n"/>
      <c r="L8" s="39" t="n"/>
      <c r="M8" s="40" t="n"/>
      <c r="N8" s="38" t="n"/>
      <c r="O8" s="37" t="n"/>
      <c r="P8" s="36" t="n"/>
      <c r="Q8" s="37" t="n"/>
      <c r="R8" s="42" t="n"/>
      <c r="S8" s="37" t="n"/>
      <c r="T8" s="42" t="n"/>
      <c r="U8" s="41" t="n"/>
      <c r="V8" s="42" t="n"/>
      <c r="W8" s="43" t="n"/>
      <c r="X8" s="42" t="n"/>
      <c r="Y8" s="43" t="n"/>
      <c r="Z8" s="42" t="n"/>
      <c r="AA8" s="41" t="n"/>
      <c r="AB8" s="42" t="n"/>
      <c r="AC8" s="43" t="n"/>
      <c r="AD8" s="42" t="n"/>
      <c r="AE8" s="44" t="n"/>
      <c r="AF8" s="35" t="n"/>
      <c r="AG8" s="45" t="n"/>
      <c r="AH8" s="60" t="n">
        <v>0</v>
      </c>
      <c r="AI8" s="61">
        <f>E44</f>
        <v/>
      </c>
      <c r="AJ8" s="59" t="n"/>
      <c r="AK8" s="59" t="n"/>
    </row>
    <row r="9">
      <c r="A9" s="50" t="n"/>
      <c r="B9" s="17" t="n"/>
      <c r="C9" s="18" t="n"/>
      <c r="D9" s="19" t="n"/>
      <c r="E9" s="17" t="n"/>
      <c r="F9" s="20" t="n"/>
      <c r="G9" s="19" t="n"/>
      <c r="H9" s="20" t="n"/>
      <c r="I9" s="19" t="n"/>
      <c r="J9" s="17" t="n"/>
      <c r="K9" s="20" t="n"/>
      <c r="L9" s="21" t="n"/>
      <c r="M9" s="22" t="n"/>
      <c r="N9" s="20" t="n"/>
      <c r="O9" s="19" t="n"/>
      <c r="P9" s="18" t="n"/>
      <c r="Q9" s="19" t="n"/>
      <c r="R9" s="26" t="n"/>
      <c r="S9" s="19" t="n"/>
      <c r="T9" s="26" t="n"/>
      <c r="U9" s="25" t="n"/>
      <c r="V9" s="26" t="n"/>
      <c r="W9" s="27" t="n"/>
      <c r="X9" s="26" t="n"/>
      <c r="Y9" s="27" t="n"/>
      <c r="Z9" s="26" t="n"/>
      <c r="AA9" s="25" t="n"/>
      <c r="AB9" s="26" t="n"/>
      <c r="AC9" s="27" t="n"/>
      <c r="AD9" s="26" t="n"/>
      <c r="AE9" s="21" t="n"/>
      <c r="AF9" s="17" t="n"/>
      <c r="AG9" s="62" t="n"/>
      <c r="AH9" s="169">
        <f>AH8-AI8</f>
        <v/>
      </c>
      <c r="AI9" s="168" t="n"/>
      <c r="AJ9" s="59" t="n"/>
      <c r="AK9" s="59" t="n"/>
    </row>
    <row r="10">
      <c r="A10" s="64" t="n"/>
      <c r="B10" s="35" t="n"/>
      <c r="C10" s="65" t="n"/>
      <c r="D10" s="66" t="n"/>
      <c r="E10" s="35" t="n"/>
      <c r="F10" s="67" t="n"/>
      <c r="G10" s="68" t="n"/>
      <c r="H10" s="69" t="n"/>
      <c r="I10" s="66" t="n"/>
      <c r="J10" s="35" t="n"/>
      <c r="K10" s="67" t="n"/>
      <c r="L10" s="70" t="n"/>
      <c r="M10" s="40" t="n"/>
      <c r="N10" s="38" t="n"/>
      <c r="O10" s="41" t="n"/>
      <c r="P10" s="65" t="n"/>
      <c r="Q10" s="37" t="n"/>
      <c r="R10" s="42" t="n"/>
      <c r="S10" s="37" t="n"/>
      <c r="T10" s="42" t="n"/>
      <c r="U10" s="41" t="n"/>
      <c r="V10" s="42" t="n"/>
      <c r="W10" s="43" t="n"/>
      <c r="X10" s="42" t="n"/>
      <c r="Y10" s="53" t="n"/>
      <c r="Z10" s="42" t="n"/>
      <c r="AA10" s="41" t="n"/>
      <c r="AB10" s="71" t="n"/>
      <c r="AC10" s="53" t="n"/>
      <c r="AD10" s="72" t="n"/>
      <c r="AE10" s="73" t="n"/>
      <c r="AF10" s="35" t="n"/>
      <c r="AG10" s="74" t="n"/>
      <c r="AH10" s="59" t="n"/>
      <c r="AI10" s="59" t="n"/>
      <c r="AJ10" s="59" t="n"/>
      <c r="AK10" s="59" t="n"/>
    </row>
    <row r="11">
      <c r="A11" s="75" t="n"/>
      <c r="B11" s="17" t="n"/>
      <c r="C11" s="76" t="n"/>
      <c r="D11" s="77" t="n"/>
      <c r="E11" s="17" t="n"/>
      <c r="F11" s="78" t="n"/>
      <c r="G11" s="79" t="n"/>
      <c r="H11" s="80" t="n"/>
      <c r="I11" s="77" t="n"/>
      <c r="J11" s="17" t="n"/>
      <c r="K11" s="78" t="n"/>
      <c r="L11" s="81" t="n"/>
      <c r="M11" s="22" t="n"/>
      <c r="N11" s="20" t="n"/>
      <c r="O11" s="25" t="n"/>
      <c r="P11" s="76" t="n"/>
      <c r="Q11" s="25" t="n"/>
      <c r="R11" s="26" t="n"/>
      <c r="S11" s="19" t="n"/>
      <c r="T11" s="26" t="n"/>
      <c r="U11" s="25" t="n"/>
      <c r="V11" s="26" t="n"/>
      <c r="W11" s="27" t="n"/>
      <c r="X11" s="26" t="n"/>
      <c r="Y11" s="82" t="n"/>
      <c r="Z11" s="26" t="n"/>
      <c r="AA11" s="25" t="n"/>
      <c r="AB11" s="83" t="n"/>
      <c r="AC11" s="82" t="n"/>
      <c r="AD11" s="84" t="n"/>
      <c r="AE11" s="85" t="n"/>
      <c r="AF11" s="17" t="n"/>
      <c r="AG11" s="29" t="n"/>
      <c r="AH11" s="59" t="n"/>
      <c r="AI11" s="59" t="n"/>
      <c r="AJ11" s="59" t="n"/>
      <c r="AK11" s="59" t="n"/>
    </row>
    <row r="12">
      <c r="A12" s="64" t="n"/>
      <c r="B12" s="35" t="n"/>
      <c r="C12" s="65" t="n"/>
      <c r="D12" s="66" t="n"/>
      <c r="E12" s="35" t="n"/>
      <c r="F12" s="67" t="n"/>
      <c r="G12" s="68" t="n"/>
      <c r="H12" s="69" t="n"/>
      <c r="I12" s="66" t="n"/>
      <c r="J12" s="35" t="n"/>
      <c r="K12" s="67" t="n"/>
      <c r="L12" s="70" t="n"/>
      <c r="M12" s="40" t="n"/>
      <c r="N12" s="38" t="n"/>
      <c r="O12" s="41" t="n"/>
      <c r="P12" s="65" t="n"/>
      <c r="Q12" s="41" t="n"/>
      <c r="R12" s="42" t="n"/>
      <c r="S12" s="37" t="n"/>
      <c r="T12" s="42" t="n"/>
      <c r="U12" s="41" t="n"/>
      <c r="V12" s="42" t="n"/>
      <c r="W12" s="53" t="n"/>
      <c r="X12" s="42" t="n"/>
      <c r="Y12" s="53" t="n"/>
      <c r="Z12" s="42" t="n"/>
      <c r="AA12" s="41" t="n"/>
      <c r="AB12" s="71" t="n"/>
      <c r="AC12" s="53" t="n"/>
      <c r="AD12" s="72" t="n"/>
      <c r="AE12" s="73" t="n"/>
      <c r="AF12" s="86" t="n"/>
      <c r="AG12" s="53" t="n"/>
      <c r="AH12" s="87" t="n"/>
      <c r="AI12" s="88" t="n"/>
      <c r="AJ12" s="89" t="n"/>
      <c r="AK12" s="88" t="n"/>
    </row>
    <row r="13">
      <c r="A13" s="75" t="n"/>
      <c r="B13" s="17" t="n"/>
      <c r="C13" s="76" t="n"/>
      <c r="D13" s="77" t="n"/>
      <c r="E13" s="17" t="n"/>
      <c r="F13" s="78" t="n"/>
      <c r="G13" s="79" t="n"/>
      <c r="H13" s="80" t="n"/>
      <c r="I13" s="77" t="n"/>
      <c r="J13" s="17" t="n"/>
      <c r="K13" s="78" t="n"/>
      <c r="L13" s="81" t="n"/>
      <c r="M13" s="22" t="n"/>
      <c r="N13" s="20" t="n"/>
      <c r="O13" s="25" t="n"/>
      <c r="P13" s="76" t="n"/>
      <c r="Q13" s="25" t="n"/>
      <c r="R13" s="26" t="n"/>
      <c r="S13" s="19" t="n"/>
      <c r="T13" s="26" t="n"/>
      <c r="U13" s="25" t="n"/>
      <c r="V13" s="26" t="n"/>
      <c r="W13" s="82" t="n"/>
      <c r="X13" s="26" t="n"/>
      <c r="Y13" s="82" t="n"/>
      <c r="Z13" s="26" t="n"/>
      <c r="AA13" s="25" t="n"/>
      <c r="AB13" s="83" t="n"/>
      <c r="AC13" s="82" t="n"/>
      <c r="AD13" s="83" t="n"/>
      <c r="AE13" s="85" t="n"/>
      <c r="AF13" s="17" t="n"/>
      <c r="AG13" s="62" t="n"/>
      <c r="AH13" s="87" t="n"/>
      <c r="AI13" s="88" t="n"/>
      <c r="AJ13" s="89" t="n"/>
      <c r="AK13" s="88" t="n"/>
    </row>
    <row r="14">
      <c r="A14" s="34" t="n"/>
      <c r="B14" s="35" t="n"/>
      <c r="C14" s="36" t="n"/>
      <c r="D14" s="66" t="n"/>
      <c r="E14" s="35" t="n"/>
      <c r="F14" s="38" t="n"/>
      <c r="G14" s="37" t="n"/>
      <c r="H14" s="38" t="n"/>
      <c r="I14" s="37" t="n"/>
      <c r="J14" s="35" t="n"/>
      <c r="K14" s="38" t="n"/>
      <c r="L14" s="39" t="n"/>
      <c r="M14" s="40" t="n"/>
      <c r="N14" s="38" t="n"/>
      <c r="O14" s="37" t="n"/>
      <c r="P14" s="36" t="n"/>
      <c r="Q14" s="41" t="n"/>
      <c r="R14" s="42" t="n"/>
      <c r="S14" s="37" t="n"/>
      <c r="T14" s="42" t="n"/>
      <c r="U14" s="41" t="n"/>
      <c r="V14" s="42" t="n"/>
      <c r="W14" s="43" t="n"/>
      <c r="X14" s="42" t="n"/>
      <c r="Y14" s="43" t="n"/>
      <c r="Z14" s="42" t="n"/>
      <c r="AA14" s="37" t="n"/>
      <c r="AB14" s="42" t="n"/>
      <c r="AC14" s="53" t="n"/>
      <c r="AD14" s="42" t="n"/>
      <c r="AE14" s="73" t="n"/>
      <c r="AF14" s="86" t="n"/>
      <c r="AG14" s="35" t="n"/>
      <c r="AH14" s="87" t="n"/>
      <c r="AI14" s="88" t="n"/>
      <c r="AJ14" s="89" t="n"/>
      <c r="AK14" s="88" t="n"/>
    </row>
    <row r="15">
      <c r="A15" s="50" t="n"/>
      <c r="B15" s="17" t="n"/>
      <c r="C15" s="18" t="n"/>
      <c r="D15" s="19" t="n"/>
      <c r="E15" s="17" t="n"/>
      <c r="F15" s="20" t="n"/>
      <c r="G15" s="19" t="n"/>
      <c r="H15" s="20" t="n"/>
      <c r="I15" s="19" t="n"/>
      <c r="J15" s="17" t="n"/>
      <c r="K15" s="20" t="n"/>
      <c r="L15" s="21" t="n"/>
      <c r="M15" s="22" t="n"/>
      <c r="N15" s="29" t="n"/>
      <c r="O15" s="19" t="n"/>
      <c r="P15" s="18" t="n"/>
      <c r="Q15" s="25" t="n"/>
      <c r="R15" s="26" t="n"/>
      <c r="S15" s="19" t="n"/>
      <c r="T15" s="26" t="n"/>
      <c r="U15" s="25" t="n"/>
      <c r="V15" s="26" t="n"/>
      <c r="W15" s="27" t="n"/>
      <c r="X15" s="26" t="n"/>
      <c r="Y15" s="90" t="inlineStr">
        <is>
          <t>Sloupec8</t>
        </is>
      </c>
      <c r="Z15" s="91" t="inlineStr">
        <is>
          <t>Datum</t>
        </is>
      </c>
      <c r="AA15" s="90" t="inlineStr">
        <is>
          <t>Sloupec9</t>
        </is>
      </c>
      <c r="AB15" s="91" t="inlineStr">
        <is>
          <t>Datum</t>
        </is>
      </c>
      <c r="AC15" s="90" t="inlineStr">
        <is>
          <t>Sloupec10</t>
        </is>
      </c>
      <c r="AD15" s="91" t="inlineStr">
        <is>
          <t>Datum</t>
        </is>
      </c>
      <c r="AE15" s="28" t="n"/>
      <c r="AF15" s="17" t="n"/>
      <c r="AG15" s="62" t="n"/>
      <c r="AH15" s="87" t="n"/>
      <c r="AI15" s="88" t="n"/>
      <c r="AJ15" s="89" t="n"/>
      <c r="AK15" s="88" t="n"/>
    </row>
    <row r="16">
      <c r="A16" s="34" t="n"/>
      <c r="B16" s="35" t="n"/>
      <c r="C16" s="36" t="n"/>
      <c r="D16" s="37" t="n"/>
      <c r="E16" s="35" t="n"/>
      <c r="F16" s="38" t="n"/>
      <c r="G16" s="37" t="n"/>
      <c r="H16" s="38" t="n"/>
      <c r="I16" s="37" t="n"/>
      <c r="J16" s="35" t="n"/>
      <c r="K16" s="38" t="n"/>
      <c r="L16" s="39" t="n"/>
      <c r="M16" s="40" t="n"/>
      <c r="N16" s="38" t="n"/>
      <c r="O16" s="37" t="n"/>
      <c r="P16" s="36" t="n"/>
      <c r="Q16" s="41" t="n"/>
      <c r="R16" s="42" t="n"/>
      <c r="S16" s="37" t="n"/>
      <c r="T16" s="42" t="n"/>
      <c r="U16" s="41" t="n"/>
      <c r="V16" s="42" t="n"/>
      <c r="W16" s="43" t="n"/>
      <c r="X16" s="42" t="n"/>
      <c r="Y16" s="43" t="n"/>
      <c r="Z16" s="42" t="n"/>
      <c r="AA16" s="41" t="n"/>
      <c r="AB16" s="42" t="n"/>
      <c r="AC16" s="43" t="n"/>
      <c r="AD16" s="42" t="n"/>
      <c r="AE16" s="44" t="n"/>
      <c r="AF16" s="35" t="n"/>
      <c r="AG16" s="45" t="n"/>
      <c r="AH16" s="87" t="n"/>
      <c r="AI16" s="88" t="n"/>
      <c r="AJ16" s="89" t="n"/>
      <c r="AK16" s="88" t="n"/>
    </row>
    <row r="17">
      <c r="A17" s="75" t="n"/>
      <c r="B17" s="17" t="n"/>
      <c r="C17" s="76" t="n"/>
      <c r="D17" s="77" t="n"/>
      <c r="E17" s="17" t="n"/>
      <c r="F17" s="78" t="n"/>
      <c r="G17" s="79" t="n"/>
      <c r="H17" s="80" t="n"/>
      <c r="I17" s="77" t="n"/>
      <c r="J17" s="17" t="n"/>
      <c r="K17" s="78" t="n"/>
      <c r="L17" s="81" t="n"/>
      <c r="M17" s="22" t="n"/>
      <c r="N17" s="20" t="n"/>
      <c r="O17" s="25" t="n"/>
      <c r="P17" s="76" t="n"/>
      <c r="Q17" s="25" t="n"/>
      <c r="R17" s="26" t="n"/>
      <c r="S17" s="19" t="n"/>
      <c r="T17" s="26" t="n"/>
      <c r="U17" s="25" t="n"/>
      <c r="V17" s="26" t="n"/>
      <c r="W17" s="27" t="n"/>
      <c r="X17" s="26" t="n"/>
      <c r="Y17" s="82" t="n"/>
      <c r="Z17" s="26" t="n"/>
      <c r="AA17" s="25" t="n"/>
      <c r="AB17" s="83" t="n"/>
      <c r="AC17" s="82" t="n"/>
      <c r="AD17" s="83" t="n"/>
      <c r="AE17" s="85" t="n"/>
      <c r="AF17" s="17" t="n"/>
      <c r="AG17" s="62" t="n"/>
      <c r="AH17" s="87" t="n"/>
      <c r="AI17" s="88" t="n"/>
      <c r="AJ17" s="89" t="n"/>
      <c r="AK17" s="88" t="n"/>
    </row>
    <row r="18">
      <c r="A18" s="64" t="n"/>
      <c r="B18" s="35" t="n"/>
      <c r="C18" s="65" t="n"/>
      <c r="D18" s="66" t="n"/>
      <c r="E18" s="35" t="n"/>
      <c r="F18" s="67" t="n"/>
      <c r="G18" s="68" t="n"/>
      <c r="H18" s="69" t="n"/>
      <c r="I18" s="66" t="n"/>
      <c r="J18" s="35" t="n"/>
      <c r="K18" s="67" t="n"/>
      <c r="L18" s="70" t="n"/>
      <c r="M18" s="40" t="n"/>
      <c r="N18" s="38" t="n"/>
      <c r="O18" s="41" t="n"/>
      <c r="P18" s="65" t="n"/>
      <c r="Q18" s="41" t="n"/>
      <c r="R18" s="42" t="n"/>
      <c r="S18" s="37" t="n"/>
      <c r="T18" s="42" t="n"/>
      <c r="U18" s="41" t="n"/>
      <c r="V18" s="42" t="n"/>
      <c r="W18" s="43" t="n"/>
      <c r="X18" s="42" t="n"/>
      <c r="Y18" s="53" t="n"/>
      <c r="Z18" s="42" t="n"/>
      <c r="AA18" s="41" t="n"/>
      <c r="AB18" s="71" t="n"/>
      <c r="AC18" s="53" t="n"/>
      <c r="AD18" s="71" t="n"/>
      <c r="AE18" s="73" t="n"/>
      <c r="AF18" s="35" t="n"/>
      <c r="AG18" s="45" t="n"/>
      <c r="AH18" s="87" t="n"/>
      <c r="AI18" s="88" t="n"/>
      <c r="AJ18" s="89" t="n"/>
      <c r="AK18" s="88" t="n"/>
    </row>
    <row r="19">
      <c r="A19" s="75" t="n"/>
      <c r="B19" s="17" t="n"/>
      <c r="C19" s="76" t="n"/>
      <c r="D19" s="77" t="n"/>
      <c r="E19" s="17" t="n"/>
      <c r="F19" s="78" t="n"/>
      <c r="G19" s="79" t="n"/>
      <c r="H19" s="80" t="n"/>
      <c r="I19" s="77" t="n"/>
      <c r="J19" s="17" t="n"/>
      <c r="K19" s="78" t="n"/>
      <c r="L19" s="81" t="n"/>
      <c r="M19" s="22" t="n"/>
      <c r="N19" s="20" t="n"/>
      <c r="O19" s="25" t="n"/>
      <c r="P19" s="76" t="n"/>
      <c r="Q19" s="25" t="n"/>
      <c r="R19" s="26" t="n"/>
      <c r="S19" s="19" t="n"/>
      <c r="T19" s="26" t="n"/>
      <c r="U19" s="25" t="n"/>
      <c r="V19" s="26" t="n"/>
      <c r="W19" s="27" t="n"/>
      <c r="X19" s="26" t="n"/>
      <c r="Y19" s="82" t="n"/>
      <c r="Z19" s="26" t="n"/>
      <c r="AA19" s="25" t="n"/>
      <c r="AB19" s="83" t="n"/>
      <c r="AC19" s="82" t="n"/>
      <c r="AD19" s="83" t="n"/>
      <c r="AE19" s="85" t="n"/>
      <c r="AF19" s="17" t="n"/>
      <c r="AG19" s="62" t="n"/>
      <c r="AH19" s="87" t="n"/>
      <c r="AI19" s="88" t="n"/>
      <c r="AJ19" s="89" t="n"/>
      <c r="AK19" s="88" t="n"/>
    </row>
    <row r="20">
      <c r="A20" s="34" t="n"/>
      <c r="B20" s="35" t="n"/>
      <c r="C20" s="36" t="n"/>
      <c r="D20" s="37" t="n"/>
      <c r="E20" s="35" t="n"/>
      <c r="F20" s="38" t="n"/>
      <c r="G20" s="37" t="n"/>
      <c r="H20" s="38" t="n"/>
      <c r="I20" s="37" t="n"/>
      <c r="J20" s="35" t="n"/>
      <c r="K20" s="38" t="n"/>
      <c r="L20" s="39" t="n"/>
      <c r="M20" s="40" t="n"/>
      <c r="N20" s="38" t="n"/>
      <c r="O20" s="37" t="n"/>
      <c r="P20" s="36" t="n"/>
      <c r="Q20" s="41" t="n"/>
      <c r="R20" s="42" t="n"/>
      <c r="S20" s="37" t="n"/>
      <c r="T20" s="42" t="n"/>
      <c r="U20" s="41" t="n"/>
      <c r="V20" s="42" t="n"/>
      <c r="W20" s="43" t="n"/>
      <c r="X20" s="42" t="n"/>
      <c r="Y20" s="43" t="n"/>
      <c r="Z20" s="42" t="n"/>
      <c r="AA20" s="41" t="n"/>
      <c r="AB20" s="42" t="n"/>
      <c r="AC20" s="53" t="n"/>
      <c r="AD20" s="42" t="n"/>
      <c r="AE20" s="73" t="n"/>
      <c r="AF20" s="35" t="n"/>
      <c r="AG20" s="45" t="n"/>
      <c r="AH20" s="87" t="n"/>
      <c r="AI20" s="88" t="n"/>
      <c r="AJ20" s="89" t="n"/>
      <c r="AK20" s="88" t="n"/>
    </row>
    <row r="21">
      <c r="A21" s="50" t="n"/>
      <c r="B21" s="17" t="n"/>
      <c r="C21" s="18" t="n"/>
      <c r="D21" s="19" t="n"/>
      <c r="E21" s="17" t="n"/>
      <c r="F21" s="20" t="n"/>
      <c r="G21" s="19" t="n"/>
      <c r="H21" s="20" t="n"/>
      <c r="I21" s="19" t="n"/>
      <c r="J21" s="17" t="n"/>
      <c r="K21" s="20" t="n"/>
      <c r="L21" s="21" t="n"/>
      <c r="M21" s="22" t="n"/>
      <c r="N21" s="20" t="n"/>
      <c r="O21" s="19" t="n"/>
      <c r="P21" s="18" t="n"/>
      <c r="Q21" s="25" t="n"/>
      <c r="R21" s="26" t="n"/>
      <c r="S21" s="19" t="n"/>
      <c r="T21" s="26" t="n"/>
      <c r="U21" s="25" t="n"/>
      <c r="V21" s="26" t="n"/>
      <c r="W21" s="27" t="n"/>
      <c r="X21" s="26" t="n"/>
      <c r="Y21" s="27" t="n"/>
      <c r="Z21" s="26" t="n"/>
      <c r="AA21" s="25" t="n"/>
      <c r="AB21" s="26" t="n"/>
      <c r="AC21" s="82" t="n"/>
      <c r="AD21" s="26" t="n"/>
      <c r="AE21" s="28" t="n"/>
      <c r="AF21" s="17" t="n"/>
      <c r="AG21" s="62" t="n"/>
      <c r="AH21" s="87" t="n"/>
      <c r="AI21" s="88" t="n"/>
      <c r="AJ21" s="89" t="n"/>
      <c r="AK21" s="88" t="n"/>
    </row>
    <row r="22">
      <c r="A22" s="92" t="n"/>
      <c r="B22" s="35" t="n"/>
      <c r="C22" s="36" t="n"/>
      <c r="D22" s="37" t="n"/>
      <c r="E22" s="35" t="n"/>
      <c r="F22" s="38" t="n"/>
      <c r="G22" s="37" t="n"/>
      <c r="H22" s="38" t="n"/>
      <c r="I22" s="37" t="n"/>
      <c r="J22" s="35" t="n"/>
      <c r="K22" s="38" t="n"/>
      <c r="L22" s="39" t="n"/>
      <c r="M22" s="40" t="n"/>
      <c r="N22" s="38" t="n"/>
      <c r="O22" s="37" t="n"/>
      <c r="P22" s="36" t="n"/>
      <c r="Q22" s="41" t="n"/>
      <c r="R22" s="42" t="n"/>
      <c r="S22" s="37" t="n"/>
      <c r="T22" s="42" t="n"/>
      <c r="U22" s="41" t="n"/>
      <c r="V22" s="42" t="n"/>
      <c r="W22" s="53" t="n"/>
      <c r="X22" s="42" t="n"/>
      <c r="Y22" s="43" t="n"/>
      <c r="Z22" s="42" t="n"/>
      <c r="AA22" s="41" t="n"/>
      <c r="AB22" s="42" t="n"/>
      <c r="AC22" s="53" t="n"/>
      <c r="AD22" s="42" t="n"/>
      <c r="AE22" s="44" t="n"/>
      <c r="AF22" s="35" t="n"/>
      <c r="AG22" s="45" t="n"/>
      <c r="AH22" s="87" t="n"/>
      <c r="AI22" s="88" t="n"/>
      <c r="AJ22" s="89" t="n"/>
      <c r="AK22" s="88" t="n"/>
    </row>
    <row r="23">
      <c r="A23" s="16" t="n"/>
      <c r="B23" s="17" t="n"/>
      <c r="C23" s="18" t="n"/>
      <c r="D23" s="19" t="n"/>
      <c r="E23" s="17" t="n"/>
      <c r="F23" s="20" t="n"/>
      <c r="G23" s="19" t="n"/>
      <c r="H23" s="20" t="n"/>
      <c r="I23" s="19" t="n"/>
      <c r="J23" s="17" t="n"/>
      <c r="K23" s="20" t="n"/>
      <c r="L23" s="21" t="n"/>
      <c r="M23" s="22" t="n"/>
      <c r="N23" s="20" t="n"/>
      <c r="O23" s="19" t="n"/>
      <c r="P23" s="18" t="n"/>
      <c r="Q23" s="25" t="n"/>
      <c r="R23" s="26" t="n"/>
      <c r="S23" s="19" t="n"/>
      <c r="T23" s="26" t="n"/>
      <c r="U23" s="25" t="n"/>
      <c r="V23" s="26" t="n"/>
      <c r="W23" s="82" t="n"/>
      <c r="X23" s="26" t="n"/>
      <c r="Y23" s="27" t="n"/>
      <c r="Z23" s="26" t="n"/>
      <c r="AA23" s="19" t="n"/>
      <c r="AB23" s="26" t="n"/>
      <c r="AC23" s="82" t="n"/>
      <c r="AD23" s="26" t="n"/>
      <c r="AE23" s="28" t="n"/>
      <c r="AF23" s="17" t="n"/>
      <c r="AG23" s="62" t="n"/>
      <c r="AH23" s="87" t="n"/>
      <c r="AI23" s="88" t="n"/>
      <c r="AJ23" s="89" t="n"/>
      <c r="AK23" s="88" t="n"/>
    </row>
    <row r="24">
      <c r="A24" s="92" t="n"/>
      <c r="B24" s="35" t="n"/>
      <c r="C24" s="36" t="n"/>
      <c r="D24" s="37" t="n"/>
      <c r="E24" s="35" t="n"/>
      <c r="F24" s="38" t="n"/>
      <c r="G24" s="37" t="n"/>
      <c r="H24" s="38" t="n"/>
      <c r="I24" s="37" t="n"/>
      <c r="J24" s="35" t="n"/>
      <c r="K24" s="38" t="n"/>
      <c r="L24" s="39" t="n"/>
      <c r="M24" s="40" t="n"/>
      <c r="N24" s="38" t="n"/>
      <c r="O24" s="37" t="n"/>
      <c r="P24" s="36" t="n"/>
      <c r="Q24" s="41" t="n"/>
      <c r="R24" s="42" t="n"/>
      <c r="S24" s="37" t="n"/>
      <c r="T24" s="42" t="n"/>
      <c r="U24" s="41" t="n"/>
      <c r="V24" s="42" t="n"/>
      <c r="W24" s="53" t="n"/>
      <c r="X24" s="42" t="n"/>
      <c r="Y24" s="43" t="n"/>
      <c r="Z24" s="42" t="n"/>
      <c r="AA24" s="37" t="n"/>
      <c r="AB24" s="42" t="n"/>
      <c r="AC24" s="53" t="n"/>
      <c r="AD24" s="42" t="n"/>
      <c r="AE24" s="44" t="n"/>
      <c r="AF24" s="35" t="n"/>
      <c r="AG24" s="45" t="n"/>
      <c r="AH24" s="87" t="n"/>
      <c r="AI24" s="88" t="n"/>
      <c r="AJ24" s="89" t="n"/>
      <c r="AK24" s="88" t="n"/>
    </row>
    <row r="25">
      <c r="A25" s="16" t="n"/>
      <c r="B25" s="17" t="n"/>
      <c r="C25" s="18" t="n"/>
      <c r="D25" s="19" t="n"/>
      <c r="E25" s="17" t="n"/>
      <c r="F25" s="20" t="n"/>
      <c r="G25" s="19" t="n"/>
      <c r="H25" s="20" t="n"/>
      <c r="I25" s="19" t="n"/>
      <c r="J25" s="17" t="n"/>
      <c r="K25" s="20" t="n"/>
      <c r="L25" s="21" t="n"/>
      <c r="M25" s="22" t="n"/>
      <c r="N25" s="20" t="n"/>
      <c r="O25" s="19" t="n"/>
      <c r="P25" s="18" t="n"/>
      <c r="Q25" s="25" t="n"/>
      <c r="R25" s="26" t="n"/>
      <c r="S25" s="19" t="n"/>
      <c r="T25" s="26" t="n"/>
      <c r="U25" s="25" t="n"/>
      <c r="V25" s="26" t="n"/>
      <c r="W25" s="82" t="n"/>
      <c r="X25" s="26" t="n"/>
      <c r="Y25" s="27" t="n"/>
      <c r="Z25" s="26" t="n"/>
      <c r="AA25" s="19" t="n"/>
      <c r="AB25" s="26" t="n"/>
      <c r="AC25" s="82" t="n"/>
      <c r="AD25" s="26" t="n"/>
      <c r="AE25" s="28" t="n"/>
      <c r="AF25" s="17" t="n"/>
      <c r="AG25" s="62" t="n"/>
      <c r="AH25" s="87" t="n"/>
      <c r="AI25" s="88" t="n"/>
      <c r="AJ25" s="89" t="n"/>
      <c r="AK25" s="88" t="n"/>
    </row>
    <row r="26">
      <c r="A26" s="93" t="n"/>
      <c r="B26" s="35" t="n"/>
      <c r="C26" s="65" t="n"/>
      <c r="D26" s="66" t="n"/>
      <c r="E26" s="35" t="n"/>
      <c r="F26" s="67" t="n"/>
      <c r="G26" s="68" t="n"/>
      <c r="H26" s="69" t="n"/>
      <c r="I26" s="66" t="n"/>
      <c r="J26" s="35" t="n"/>
      <c r="K26" s="67" t="n"/>
      <c r="L26" s="70" t="n"/>
      <c r="M26" s="40" t="n"/>
      <c r="N26" s="38" t="n"/>
      <c r="O26" s="41" t="n"/>
      <c r="P26" s="65" t="n"/>
      <c r="Q26" s="37" t="n"/>
      <c r="R26" s="42" t="n"/>
      <c r="S26" s="37" t="n"/>
      <c r="T26" s="42" t="n"/>
      <c r="U26" s="41" t="n"/>
      <c r="V26" s="42" t="n"/>
      <c r="W26" s="53" t="n"/>
      <c r="X26" s="42" t="n"/>
      <c r="Y26" s="53" t="n"/>
      <c r="Z26" s="42" t="n"/>
      <c r="AA26" s="41" t="n"/>
      <c r="AB26" s="71" t="n"/>
      <c r="AC26" s="53" t="n"/>
      <c r="AD26" s="71" t="n"/>
      <c r="AE26" s="73" t="n"/>
      <c r="AF26" s="35" t="n"/>
      <c r="AG26" s="45" t="n"/>
      <c r="AH26" s="87" t="n"/>
      <c r="AI26" s="88" t="n"/>
      <c r="AJ26" s="89" t="n"/>
      <c r="AK26" s="88" t="n"/>
    </row>
    <row r="27">
      <c r="A27" s="16" t="n"/>
      <c r="B27" s="17" t="n"/>
      <c r="C27" s="18" t="n"/>
      <c r="D27" s="19" t="n"/>
      <c r="E27" s="17" t="n"/>
      <c r="F27" s="20" t="n"/>
      <c r="G27" s="19" t="n"/>
      <c r="H27" s="20" t="n"/>
      <c r="I27" s="19" t="n"/>
      <c r="J27" s="17" t="n"/>
      <c r="K27" s="20" t="n"/>
      <c r="L27" s="21" t="n"/>
      <c r="M27" s="22" t="n"/>
      <c r="N27" s="20" t="n"/>
      <c r="O27" s="19" t="n"/>
      <c r="P27" s="18" t="n"/>
      <c r="Q27" s="25" t="n"/>
      <c r="R27" s="26" t="n"/>
      <c r="S27" s="19" t="n"/>
      <c r="T27" s="26" t="n"/>
      <c r="U27" s="25" t="n"/>
      <c r="V27" s="26" t="n"/>
      <c r="W27" s="82" t="n"/>
      <c r="X27" s="26" t="n"/>
      <c r="Y27" s="82" t="n"/>
      <c r="Z27" s="26" t="n"/>
      <c r="AA27" s="19" t="n"/>
      <c r="AB27" s="26" t="n"/>
      <c r="AC27" s="82" t="n"/>
      <c r="AD27" s="26" t="n"/>
      <c r="AE27" s="28" t="n"/>
      <c r="AF27" s="17" t="n"/>
      <c r="AG27" s="62" t="n"/>
      <c r="AH27" s="87" t="n"/>
      <c r="AI27" s="88" t="n"/>
      <c r="AJ27" s="89" t="n"/>
      <c r="AK27" s="88" t="n"/>
    </row>
    <row r="28">
      <c r="A28" s="92" t="n"/>
      <c r="B28" s="35" t="n"/>
      <c r="C28" s="36" t="n"/>
      <c r="D28" s="37" t="n"/>
      <c r="E28" s="35" t="n"/>
      <c r="F28" s="38" t="n"/>
      <c r="G28" s="37" t="n"/>
      <c r="H28" s="38" t="n"/>
      <c r="I28" s="37" t="n"/>
      <c r="J28" s="35" t="n"/>
      <c r="K28" s="38" t="n"/>
      <c r="L28" s="39" t="n"/>
      <c r="M28" s="40" t="n"/>
      <c r="N28" s="38" t="n"/>
      <c r="O28" s="37" t="n"/>
      <c r="P28" s="36" t="n"/>
      <c r="Q28" s="41" t="n"/>
      <c r="R28" s="42" t="n"/>
      <c r="S28" s="37" t="n"/>
      <c r="T28" s="42" t="n"/>
      <c r="U28" s="41" t="n"/>
      <c r="V28" s="42" t="n"/>
      <c r="W28" s="53" t="n"/>
      <c r="X28" s="42" t="n"/>
      <c r="Y28" s="94" t="inlineStr">
        <is>
          <t>Sloupec11</t>
        </is>
      </c>
      <c r="Z28" s="95" t="inlineStr">
        <is>
          <t>Datum</t>
        </is>
      </c>
      <c r="AA28" s="94" t="inlineStr">
        <is>
          <t>Sloupec12</t>
        </is>
      </c>
      <c r="AB28" s="95" t="inlineStr">
        <is>
          <t>Datum</t>
        </is>
      </c>
      <c r="AC28" s="94" t="inlineStr">
        <is>
          <t>Sloupec13</t>
        </is>
      </c>
      <c r="AD28" s="95" t="inlineStr">
        <is>
          <t>Datum</t>
        </is>
      </c>
      <c r="AE28" s="44" t="n"/>
      <c r="AF28" s="35" t="n"/>
      <c r="AG28" s="45" t="n"/>
      <c r="AH28" s="87" t="n"/>
      <c r="AI28" s="88" t="n"/>
      <c r="AJ28" s="89" t="n"/>
      <c r="AK28" s="88" t="n"/>
    </row>
    <row r="29">
      <c r="A29" s="96" t="n"/>
      <c r="B29" s="17" t="n"/>
      <c r="C29" s="76" t="n"/>
      <c r="D29" s="77" t="n"/>
      <c r="E29" s="17" t="n"/>
      <c r="F29" s="78" t="n"/>
      <c r="G29" s="79" t="n"/>
      <c r="H29" s="80" t="n"/>
      <c r="I29" s="77" t="n"/>
      <c r="J29" s="17" t="n"/>
      <c r="K29" s="78" t="n"/>
      <c r="L29" s="81" t="n"/>
      <c r="M29" s="22" t="n"/>
      <c r="N29" s="20" t="n"/>
      <c r="O29" s="25" t="n"/>
      <c r="P29" s="76" t="n"/>
      <c r="Q29" s="25" t="n"/>
      <c r="R29" s="26" t="n"/>
      <c r="S29" s="19" t="n"/>
      <c r="T29" s="26" t="n"/>
      <c r="U29" s="25" t="n"/>
      <c r="V29" s="26" t="n"/>
      <c r="W29" s="82" t="n"/>
      <c r="X29" s="26" t="n"/>
      <c r="Y29" s="97" t="n"/>
      <c r="Z29" s="26" t="n"/>
      <c r="AA29" s="25" t="n"/>
      <c r="AB29" s="83" t="n"/>
      <c r="AC29" s="82" t="n"/>
      <c r="AD29" s="83" t="n"/>
      <c r="AE29" s="85" t="n"/>
      <c r="AF29" s="17" t="n"/>
      <c r="AG29" s="98" t="n"/>
      <c r="AH29" s="87" t="n"/>
      <c r="AI29" s="88" t="n"/>
      <c r="AJ29" s="89" t="n"/>
      <c r="AK29" s="88" t="n"/>
    </row>
    <row r="30">
      <c r="A30" s="92" t="n"/>
      <c r="B30" s="35" t="n"/>
      <c r="C30" s="36" t="n"/>
      <c r="D30" s="37" t="n"/>
      <c r="E30" s="35" t="n"/>
      <c r="F30" s="38" t="n"/>
      <c r="G30" s="37" t="n"/>
      <c r="H30" s="38" t="n"/>
      <c r="I30" s="37" t="n"/>
      <c r="J30" s="35" t="n"/>
      <c r="K30" s="38" t="n"/>
      <c r="L30" s="39" t="n"/>
      <c r="M30" s="40" t="n"/>
      <c r="N30" s="38" t="n"/>
      <c r="O30" s="37" t="n"/>
      <c r="P30" s="36" t="n"/>
      <c r="Q30" s="41" t="n"/>
      <c r="R30" s="42" t="n"/>
      <c r="S30" s="37" t="n"/>
      <c r="T30" s="42" t="n"/>
      <c r="U30" s="41" t="n"/>
      <c r="V30" s="42" t="n"/>
      <c r="W30" s="53" t="n"/>
      <c r="X30" s="42" t="n"/>
      <c r="Y30" s="53" t="n"/>
      <c r="Z30" s="42" t="n"/>
      <c r="AA30" s="41" t="n"/>
      <c r="AB30" s="42" t="n"/>
      <c r="AC30" s="53" t="n"/>
      <c r="AD30" s="42" t="n"/>
      <c r="AE30" s="44" t="n"/>
      <c r="AF30" s="35" t="n"/>
      <c r="AG30" s="54" t="n"/>
      <c r="AH30" s="87" t="n"/>
      <c r="AI30" s="88" t="n"/>
      <c r="AJ30" s="89" t="n"/>
      <c r="AK30" s="88" t="n"/>
    </row>
    <row r="31">
      <c r="A31" s="16" t="n"/>
      <c r="B31" s="17" t="n"/>
      <c r="C31" s="18" t="n"/>
      <c r="D31" s="19" t="n"/>
      <c r="E31" s="17" t="n"/>
      <c r="F31" s="20" t="n"/>
      <c r="G31" s="19" t="n"/>
      <c r="H31" s="20" t="n"/>
      <c r="I31" s="19" t="n"/>
      <c r="J31" s="17" t="n"/>
      <c r="K31" s="20" t="n"/>
      <c r="L31" s="21" t="n"/>
      <c r="M31" s="22" t="n"/>
      <c r="N31" s="20" t="n"/>
      <c r="O31" s="19" t="n"/>
      <c r="P31" s="18" t="n"/>
      <c r="Q31" s="25" t="n"/>
      <c r="R31" s="26" t="n"/>
      <c r="S31" s="19" t="n"/>
      <c r="T31" s="26" t="n"/>
      <c r="U31" s="25" t="n"/>
      <c r="V31" s="26" t="n"/>
      <c r="W31" s="82" t="n"/>
      <c r="X31" s="26" t="n"/>
      <c r="Y31" s="82" t="n"/>
      <c r="Z31" s="26" t="n"/>
      <c r="AA31" s="25" t="n"/>
      <c r="AB31" s="26" t="n"/>
      <c r="AC31" s="82" t="n"/>
      <c r="AD31" s="26" t="n"/>
      <c r="AE31" s="28" t="n"/>
      <c r="AF31" s="17" t="n"/>
      <c r="AG31" s="29" t="n"/>
      <c r="AH31" s="87" t="n"/>
      <c r="AI31" s="88" t="n"/>
      <c r="AJ31" s="89" t="n"/>
      <c r="AK31" s="88" t="n"/>
    </row>
    <row r="32">
      <c r="A32" s="92" t="n"/>
      <c r="B32" s="35" t="n"/>
      <c r="C32" s="36" t="n"/>
      <c r="D32" s="37" t="n"/>
      <c r="E32" s="35" t="n"/>
      <c r="F32" s="38" t="n"/>
      <c r="G32" s="37" t="n"/>
      <c r="H32" s="38" t="n"/>
      <c r="I32" s="37" t="n"/>
      <c r="J32" s="35" t="n"/>
      <c r="K32" s="38" t="n"/>
      <c r="L32" s="39" t="n"/>
      <c r="M32" s="40" t="n"/>
      <c r="N32" s="38" t="n"/>
      <c r="O32" s="37" t="n"/>
      <c r="P32" s="36" t="n"/>
      <c r="Q32" s="41" t="n"/>
      <c r="R32" s="42" t="n"/>
      <c r="S32" s="37" t="n"/>
      <c r="T32" s="42" t="n"/>
      <c r="U32" s="41" t="n"/>
      <c r="V32" s="42" t="n"/>
      <c r="W32" s="53" t="n"/>
      <c r="X32" s="42" t="n"/>
      <c r="Y32" s="53" t="n"/>
      <c r="Z32" s="42" t="n"/>
      <c r="AA32" s="41" t="n"/>
      <c r="AB32" s="42" t="n"/>
      <c r="AC32" s="53" t="n"/>
      <c r="AD32" s="42" t="n"/>
      <c r="AE32" s="44" t="n"/>
      <c r="AF32" s="35" t="n"/>
      <c r="AG32" s="54" t="n"/>
      <c r="AH32" s="87" t="n"/>
      <c r="AI32" s="88" t="n"/>
      <c r="AJ32" s="89" t="n"/>
      <c r="AK32" s="88" t="n"/>
    </row>
    <row r="33">
      <c r="A33" s="16" t="n"/>
      <c r="B33" s="17" t="n"/>
      <c r="C33" s="18" t="n"/>
      <c r="D33" s="19" t="n"/>
      <c r="E33" s="17" t="n"/>
      <c r="F33" s="20" t="n"/>
      <c r="G33" s="19" t="n"/>
      <c r="H33" s="20" t="n"/>
      <c r="I33" s="19" t="n"/>
      <c r="J33" s="17" t="n"/>
      <c r="K33" s="20" t="n"/>
      <c r="L33" s="21" t="n"/>
      <c r="M33" s="22" t="n"/>
      <c r="N33" s="20" t="n"/>
      <c r="O33" s="19" t="n"/>
      <c r="P33" s="18" t="n"/>
      <c r="Q33" s="25" t="n"/>
      <c r="R33" s="26" t="n"/>
      <c r="S33" s="19" t="n"/>
      <c r="T33" s="26" t="n"/>
      <c r="U33" s="25" t="n"/>
      <c r="V33" s="26" t="n"/>
      <c r="W33" s="82" t="n"/>
      <c r="X33" s="26" t="n"/>
      <c r="Y33" s="82" t="n"/>
      <c r="Z33" s="26" t="n"/>
      <c r="AA33" s="19" t="n"/>
      <c r="AB33" s="26" t="n"/>
      <c r="AC33" s="82" t="n"/>
      <c r="AD33" s="26" t="n"/>
      <c r="AE33" s="28" t="n"/>
      <c r="AF33" s="17" t="n"/>
      <c r="AG33" s="29" t="n"/>
      <c r="AH33" s="87" t="n"/>
      <c r="AI33" s="88" t="n"/>
      <c r="AJ33" s="89" t="n"/>
      <c r="AK33" s="88" t="n"/>
    </row>
    <row r="34">
      <c r="A34" s="92" t="n"/>
      <c r="B34" s="35" t="n"/>
      <c r="C34" s="36" t="n"/>
      <c r="D34" s="37" t="n"/>
      <c r="E34" s="35" t="n"/>
      <c r="F34" s="38" t="n"/>
      <c r="G34" s="37" t="n"/>
      <c r="H34" s="38" t="n"/>
      <c r="I34" s="37" t="n"/>
      <c r="J34" s="35" t="n"/>
      <c r="K34" s="38" t="n"/>
      <c r="L34" s="39" t="n"/>
      <c r="M34" s="40" t="n"/>
      <c r="N34" s="38" t="n"/>
      <c r="O34" s="37" t="n"/>
      <c r="P34" s="36" t="n"/>
      <c r="Q34" s="41" t="n"/>
      <c r="R34" s="42" t="n"/>
      <c r="S34" s="37" t="n"/>
      <c r="T34" s="42" t="n"/>
      <c r="U34" s="41" t="n"/>
      <c r="V34" s="42" t="n"/>
      <c r="W34" s="53" t="n"/>
      <c r="X34" s="42" t="n"/>
      <c r="Y34" s="53" t="n"/>
      <c r="Z34" s="42" t="n"/>
      <c r="AA34" s="37" t="n"/>
      <c r="AB34" s="42" t="n"/>
      <c r="AC34" s="53" t="n"/>
      <c r="AD34" s="42" t="n"/>
      <c r="AE34" s="44" t="n"/>
      <c r="AF34" s="35" t="n"/>
      <c r="AG34" s="54" t="n"/>
      <c r="AH34" s="87" t="n"/>
      <c r="AI34" s="88" t="n"/>
      <c r="AJ34" s="89" t="n"/>
      <c r="AK34" s="88" t="n"/>
    </row>
    <row r="35">
      <c r="A35" s="16" t="n"/>
      <c r="B35" s="17" t="n"/>
      <c r="C35" s="18" t="n"/>
      <c r="D35" s="19" t="n"/>
      <c r="E35" s="17" t="n"/>
      <c r="F35" s="20" t="n"/>
      <c r="G35" s="19" t="n"/>
      <c r="H35" s="20" t="n"/>
      <c r="I35" s="19" t="n"/>
      <c r="J35" s="17" t="n"/>
      <c r="K35" s="20" t="n"/>
      <c r="L35" s="21" t="n"/>
      <c r="M35" s="22" t="n"/>
      <c r="N35" s="20" t="n"/>
      <c r="O35" s="19" t="n"/>
      <c r="P35" s="18" t="n"/>
      <c r="Q35" s="25" t="n"/>
      <c r="R35" s="26" t="n"/>
      <c r="S35" s="19" t="n"/>
      <c r="T35" s="26" t="n"/>
      <c r="U35" s="25" t="n"/>
      <c r="V35" s="26" t="n"/>
      <c r="W35" s="82" t="n"/>
      <c r="X35" s="26" t="n"/>
      <c r="Y35" s="82" t="n"/>
      <c r="Z35" s="26" t="n"/>
      <c r="AA35" s="19" t="n"/>
      <c r="AB35" s="26" t="n"/>
      <c r="AC35" s="82" t="n"/>
      <c r="AD35" s="26" t="n"/>
      <c r="AE35" s="28" t="n"/>
      <c r="AF35" s="17" t="n"/>
      <c r="AG35" s="29" t="n"/>
      <c r="AH35" s="87" t="n"/>
      <c r="AI35" s="88" t="n"/>
      <c r="AJ35" s="89" t="n"/>
      <c r="AK35" s="88" t="n"/>
    </row>
    <row r="36">
      <c r="A36" s="92" t="n"/>
      <c r="B36" s="35" t="n"/>
      <c r="C36" s="36" t="n"/>
      <c r="D36" s="37" t="n"/>
      <c r="E36" s="35" t="n"/>
      <c r="F36" s="38" t="n"/>
      <c r="G36" s="37" t="n"/>
      <c r="H36" s="38" t="n"/>
      <c r="I36" s="37" t="n"/>
      <c r="J36" s="35" t="n"/>
      <c r="K36" s="38" t="n"/>
      <c r="L36" s="39" t="n"/>
      <c r="M36" s="40" t="n"/>
      <c r="N36" s="38" t="n"/>
      <c r="O36" s="37" t="n"/>
      <c r="P36" s="36" t="n"/>
      <c r="Q36" s="41" t="n"/>
      <c r="R36" s="42" t="n"/>
      <c r="S36" s="37" t="n"/>
      <c r="T36" s="42" t="n"/>
      <c r="U36" s="41" t="n"/>
      <c r="V36" s="42" t="n"/>
      <c r="W36" s="53" t="n"/>
      <c r="X36" s="42" t="n"/>
      <c r="Y36" s="53" t="n"/>
      <c r="Z36" s="42" t="n"/>
      <c r="AA36" s="41" t="n"/>
      <c r="AB36" s="42" t="n"/>
      <c r="AC36" s="53" t="n"/>
      <c r="AD36" s="42" t="n"/>
      <c r="AE36" s="44" t="n"/>
      <c r="AF36" s="35" t="n"/>
      <c r="AG36" s="54" t="n"/>
      <c r="AH36" s="87" t="n"/>
      <c r="AI36" s="88" t="n"/>
      <c r="AJ36" s="89" t="n"/>
      <c r="AK36" s="88" t="n"/>
    </row>
    <row r="37">
      <c r="A37" s="16" t="n"/>
      <c r="B37" s="17" t="n"/>
      <c r="C37" s="18" t="n"/>
      <c r="D37" s="19" t="n"/>
      <c r="E37" s="17" t="n"/>
      <c r="F37" s="20" t="n"/>
      <c r="G37" s="19" t="n"/>
      <c r="H37" s="20" t="n"/>
      <c r="I37" s="19" t="n"/>
      <c r="J37" s="17" t="n"/>
      <c r="K37" s="20" t="n"/>
      <c r="L37" s="21" t="n"/>
      <c r="M37" s="22" t="n"/>
      <c r="N37" s="20" t="n"/>
      <c r="O37" s="19" t="n"/>
      <c r="P37" s="18" t="n"/>
      <c r="Q37" s="25" t="n"/>
      <c r="R37" s="26" t="n"/>
      <c r="S37" s="19" t="n"/>
      <c r="T37" s="26" t="n"/>
      <c r="U37" s="25" t="n"/>
      <c r="V37" s="26" t="n"/>
      <c r="W37" s="82" t="n"/>
      <c r="X37" s="26" t="n"/>
      <c r="Y37" s="82" t="n"/>
      <c r="Z37" s="26" t="n"/>
      <c r="AA37" s="25" t="n"/>
      <c r="AB37" s="26" t="n"/>
      <c r="AC37" s="82" t="n"/>
      <c r="AD37" s="26" t="n"/>
      <c r="AE37" s="28" t="n"/>
      <c r="AF37" s="17" t="n"/>
      <c r="AG37" s="29" t="n"/>
      <c r="AH37" s="99" t="n"/>
      <c r="AI37" s="59" t="n"/>
      <c r="AJ37" s="59" t="n"/>
      <c r="AK37" s="59" t="n"/>
    </row>
    <row r="38">
      <c r="A38" s="92" t="n"/>
      <c r="B38" s="35" t="n"/>
      <c r="C38" s="36" t="n"/>
      <c r="D38" s="37" t="n"/>
      <c r="E38" s="35" t="n"/>
      <c r="F38" s="38" t="n"/>
      <c r="G38" s="37" t="n"/>
      <c r="H38" s="38" t="n"/>
      <c r="I38" s="37" t="n"/>
      <c r="J38" s="35" t="n"/>
      <c r="K38" s="38" t="n"/>
      <c r="L38" s="39" t="n"/>
      <c r="M38" s="40" t="n"/>
      <c r="N38" s="38" t="n"/>
      <c r="O38" s="37" t="n"/>
      <c r="P38" s="36" t="n"/>
      <c r="Q38" s="41" t="n"/>
      <c r="R38" s="42" t="n"/>
      <c r="S38" s="37" t="n"/>
      <c r="T38" s="42" t="n"/>
      <c r="U38" s="41" t="n"/>
      <c r="V38" s="42" t="n"/>
      <c r="W38" s="53" t="n"/>
      <c r="X38" s="42" t="n"/>
      <c r="Y38" s="53" t="n"/>
      <c r="Z38" s="42" t="n"/>
      <c r="AA38" s="37" t="n"/>
      <c r="AB38" s="42" t="n"/>
      <c r="AC38" s="53" t="n"/>
      <c r="AD38" s="42" t="n"/>
      <c r="AE38" s="44" t="n"/>
      <c r="AF38" s="35" t="n"/>
      <c r="AG38" s="54" t="n"/>
      <c r="AH38" s="99" t="n"/>
      <c r="AI38" s="59" t="n"/>
      <c r="AJ38" s="59" t="n"/>
      <c r="AK38" s="59" t="n"/>
    </row>
    <row r="39">
      <c r="A39" s="16" t="n"/>
      <c r="B39" s="17" t="n"/>
      <c r="C39" s="18" t="n"/>
      <c r="D39" s="19" t="n"/>
      <c r="E39" s="17" t="n"/>
      <c r="F39" s="20" t="n"/>
      <c r="G39" s="19" t="n"/>
      <c r="H39" s="20" t="n"/>
      <c r="I39" s="19" t="n"/>
      <c r="J39" s="17" t="n"/>
      <c r="K39" s="20" t="n"/>
      <c r="L39" s="21" t="n"/>
      <c r="M39" s="22" t="n"/>
      <c r="N39" s="20" t="n"/>
      <c r="O39" s="19" t="n"/>
      <c r="P39" s="18" t="n"/>
      <c r="Q39" s="25" t="n"/>
      <c r="R39" s="26" t="n"/>
      <c r="S39" s="19" t="n"/>
      <c r="T39" s="26" t="n"/>
      <c r="U39" s="25" t="n"/>
      <c r="V39" s="26" t="n"/>
      <c r="W39" s="82" t="n"/>
      <c r="X39" s="26" t="n"/>
      <c r="Y39" s="82" t="n"/>
      <c r="Z39" s="26" t="n"/>
      <c r="AA39" s="19" t="n"/>
      <c r="AB39" s="26" t="n"/>
      <c r="AC39" s="82" t="n"/>
      <c r="AD39" s="26" t="n"/>
      <c r="AE39" s="28" t="n"/>
      <c r="AF39" s="17" t="n"/>
      <c r="AG39" s="29" t="n"/>
      <c r="AH39" s="99" t="n"/>
      <c r="AI39" s="88" t="n"/>
      <c r="AJ39" s="89" t="n"/>
      <c r="AK39" s="88" t="n"/>
    </row>
    <row r="40">
      <c r="A40" s="92" t="n"/>
      <c r="B40" s="35" t="n"/>
      <c r="C40" s="36" t="n"/>
      <c r="D40" s="37" t="n"/>
      <c r="E40" s="35" t="n"/>
      <c r="F40" s="38" t="n"/>
      <c r="G40" s="37" t="n"/>
      <c r="H40" s="38" t="n"/>
      <c r="I40" s="37" t="n"/>
      <c r="J40" s="35" t="n"/>
      <c r="K40" s="38" t="n"/>
      <c r="L40" s="39" t="n"/>
      <c r="M40" s="40" t="n"/>
      <c r="N40" s="38" t="n"/>
      <c r="O40" s="37" t="n"/>
      <c r="P40" s="36" t="n"/>
      <c r="Q40" s="41" t="n"/>
      <c r="R40" s="42" t="n"/>
      <c r="S40" s="37" t="n"/>
      <c r="T40" s="42" t="n"/>
      <c r="U40" s="41" t="n"/>
      <c r="V40" s="42" t="n"/>
      <c r="W40" s="53" t="n"/>
      <c r="X40" s="42" t="n"/>
      <c r="Y40" s="53" t="n"/>
      <c r="Z40" s="42" t="n"/>
      <c r="AA40" s="41" t="n"/>
      <c r="AB40" s="42" t="n"/>
      <c r="AC40" s="53" t="n"/>
      <c r="AD40" s="42" t="n"/>
      <c r="AE40" s="44" t="n"/>
      <c r="AF40" s="35" t="n"/>
      <c r="AG40" s="54" t="n"/>
      <c r="AH40" s="99" t="n"/>
      <c r="AI40" s="59" t="n"/>
      <c r="AJ40" s="59" t="n"/>
      <c r="AK40" s="59" t="n"/>
    </row>
    <row r="41">
      <c r="A41" s="16" t="n"/>
      <c r="B41" s="17" t="n"/>
      <c r="C41" s="18" t="n"/>
      <c r="D41" s="19" t="n"/>
      <c r="E41" s="17" t="n"/>
      <c r="F41" s="20" t="n"/>
      <c r="G41" s="19" t="n"/>
      <c r="H41" s="20" t="n"/>
      <c r="I41" s="19" t="n"/>
      <c r="J41" s="17" t="n"/>
      <c r="K41" s="20" t="n"/>
      <c r="L41" s="21" t="n"/>
      <c r="M41" s="22" t="n"/>
      <c r="N41" s="20" t="n"/>
      <c r="O41" s="19" t="n"/>
      <c r="P41" s="18" t="n"/>
      <c r="Q41" s="25" t="n"/>
      <c r="R41" s="26" t="n"/>
      <c r="S41" s="19" t="n"/>
      <c r="T41" s="26" t="n"/>
      <c r="U41" s="25" t="n"/>
      <c r="V41" s="26" t="n"/>
      <c r="W41" s="82" t="n"/>
      <c r="X41" s="26" t="n"/>
      <c r="Y41" s="82" t="n"/>
      <c r="Z41" s="26" t="n"/>
      <c r="AA41" s="25" t="n"/>
      <c r="AB41" s="26" t="n"/>
      <c r="AC41" s="82" t="n"/>
      <c r="AD41" s="26" t="n"/>
      <c r="AE41" s="28" t="n"/>
      <c r="AF41" s="17" t="n"/>
      <c r="AG41" s="29" t="n"/>
      <c r="AH41" s="99" t="n"/>
      <c r="AI41" s="59" t="n"/>
      <c r="AJ41" s="59" t="n"/>
      <c r="AK41" s="59" t="n"/>
    </row>
    <row r="42">
      <c r="A42" s="100" t="n"/>
      <c r="B42" s="101" t="n"/>
      <c r="C42" s="102" t="n"/>
      <c r="D42" s="103" t="n"/>
      <c r="E42" s="104" t="n"/>
      <c r="F42" s="105" t="n"/>
      <c r="G42" s="106" t="n"/>
      <c r="H42" s="107" t="n"/>
      <c r="I42" s="103" t="n"/>
      <c r="J42" s="108" t="n"/>
      <c r="K42" s="105" t="n"/>
      <c r="L42" s="109" t="n"/>
      <c r="M42" s="110" t="n"/>
      <c r="N42" s="107" t="n"/>
      <c r="O42" s="103" t="n"/>
      <c r="P42" s="111" t="n"/>
      <c r="Q42" s="112" t="n"/>
      <c r="R42" s="113" t="n"/>
      <c r="S42" s="106" t="n"/>
      <c r="T42" s="113" t="n"/>
      <c r="U42" s="112" t="n"/>
      <c r="V42" s="113" t="n"/>
      <c r="W42" s="114" t="n"/>
      <c r="X42" s="113" t="n"/>
      <c r="Y42" s="114" t="n"/>
      <c r="Z42" s="113" t="n"/>
      <c r="AA42" s="112" t="n"/>
      <c r="AB42" s="113" t="n"/>
      <c r="AC42" s="114" t="n"/>
      <c r="AD42" s="113" t="n"/>
      <c r="AE42" s="115" t="n"/>
      <c r="AF42" s="101" t="n"/>
      <c r="AG42" s="116" t="n"/>
      <c r="AH42" s="99" t="n"/>
      <c r="AI42" s="59" t="n"/>
      <c r="AJ42" s="59" t="n"/>
      <c r="AK42" s="59" t="n"/>
    </row>
    <row r="43">
      <c r="A43" s="170" t="inlineStr">
        <is>
          <t xml:space="preserve">   C   e   l   k   e   m   </t>
        </is>
      </c>
      <c r="C43" s="171" t="n"/>
      <c r="D43" s="119" t="inlineStr">
        <is>
          <t>Celkem</t>
        </is>
      </c>
      <c r="E43" s="119" t="inlineStr">
        <is>
          <t>Monese</t>
        </is>
      </c>
      <c r="F43" s="120" t="inlineStr">
        <is>
          <t>Celkem</t>
        </is>
      </c>
      <c r="G43" s="172" t="inlineStr">
        <is>
          <t>Celkem</t>
        </is>
      </c>
      <c r="H43" s="171" t="n"/>
      <c r="I43" s="172" t="inlineStr">
        <is>
          <t xml:space="preserve">   C   e   l   k   e   m   </t>
        </is>
      </c>
      <c r="K43" s="171" t="n"/>
      <c r="L43" s="173" t="inlineStr">
        <is>
          <t xml:space="preserve">   C   e   l   k   e   m   </t>
        </is>
      </c>
      <c r="N43" s="171" t="n"/>
      <c r="O43" s="172" t="inlineStr">
        <is>
          <t xml:space="preserve">  C  e  l  k  e  m  </t>
        </is>
      </c>
      <c r="P43" s="171" t="n"/>
      <c r="Q43" s="172" t="inlineStr">
        <is>
          <t xml:space="preserve">  C  e  l  k  e  m  </t>
        </is>
      </c>
      <c r="R43" s="171" t="n"/>
      <c r="S43" s="172" t="inlineStr">
        <is>
          <t xml:space="preserve">  C  e  l  k  e  m  </t>
        </is>
      </c>
      <c r="T43" s="171" t="n"/>
      <c r="U43" s="172" t="inlineStr">
        <is>
          <t xml:space="preserve">  C  e  l  k  e  m  </t>
        </is>
      </c>
      <c r="V43" s="171" t="n"/>
      <c r="W43" s="172" t="inlineStr">
        <is>
          <t xml:space="preserve">  C  e  l  k  e  m  </t>
        </is>
      </c>
      <c r="X43" s="171" t="n"/>
      <c r="Y43" s="172" t="inlineStr">
        <is>
          <t xml:space="preserve">  C  e  l  k  e  m  </t>
        </is>
      </c>
      <c r="Z43" s="171" t="n"/>
      <c r="AA43" s="172" t="inlineStr">
        <is>
          <t xml:space="preserve">   C   e   l   k   e   m   </t>
        </is>
      </c>
      <c r="AB43" s="171" t="n"/>
      <c r="AC43" s="172" t="inlineStr">
        <is>
          <t xml:space="preserve">   C   e   l   k   e   m   </t>
        </is>
      </c>
      <c r="AD43" s="171" t="n"/>
      <c r="AE43" s="173" t="inlineStr">
        <is>
          <t xml:space="preserve">   C   e   l   k   e   m   </t>
        </is>
      </c>
      <c r="AG43" s="171" t="n"/>
      <c r="AH43" s="99" t="n"/>
      <c r="AI43" s="59" t="n"/>
      <c r="AJ43" s="59" t="n"/>
      <c r="AK43" s="59" t="n"/>
    </row>
    <row r="44">
      <c r="A44" s="123">
        <f>SUM(A3:A42)</f>
        <v/>
      </c>
      <c r="B44" s="124" t="n"/>
      <c r="C44" s="125">
        <f>SUM(C3:C42)</f>
        <v/>
      </c>
      <c r="D44" s="126">
        <f>SUM(D3:D42)</f>
        <v/>
      </c>
      <c r="E44" s="127" t="n">
        <v>0</v>
      </c>
      <c r="F44" s="128">
        <f>SUM(F3:F42)</f>
        <v/>
      </c>
      <c r="G44" s="127">
        <f>SUM(G3:G42)</f>
        <v/>
      </c>
      <c r="H44" s="129">
        <f>SUM(H3:H42)</f>
        <v/>
      </c>
      <c r="I44" s="127">
        <f>SUM(I3:I42)</f>
        <v/>
      </c>
      <c r="J44" s="130" t="n"/>
      <c r="K44" s="129">
        <f>SUM(K3:K42)</f>
        <v/>
      </c>
      <c r="L44" s="131">
        <f>SUM(L3:L42)</f>
        <v/>
      </c>
      <c r="M44" s="126" t="inlineStr">
        <is>
          <t xml:space="preserve">Hotově </t>
        </is>
      </c>
      <c r="N44" s="128" t="inlineStr">
        <is>
          <t>Kartou</t>
        </is>
      </c>
      <c r="O44" s="132">
        <f>O3+O5</f>
        <v/>
      </c>
      <c r="P44" s="133" t="inlineStr">
        <is>
          <t xml:space="preserve">Celkem </t>
        </is>
      </c>
      <c r="Q44" s="132">
        <f>SUM(Q3:Q38)</f>
        <v/>
      </c>
      <c r="R44" s="133" t="inlineStr">
        <is>
          <t>Celkem</t>
        </is>
      </c>
      <c r="S44" s="132">
        <f>SUM(S3:S42)</f>
        <v/>
      </c>
      <c r="T44" s="133" t="inlineStr">
        <is>
          <t>Celkem</t>
        </is>
      </c>
      <c r="U44" s="132">
        <f>SUM(U3:U42)</f>
        <v/>
      </c>
      <c r="V44" s="133" t="inlineStr">
        <is>
          <t>Celkem</t>
        </is>
      </c>
      <c r="W44" s="132">
        <f>SUM(W3:W42)</f>
        <v/>
      </c>
      <c r="X44" s="133" t="inlineStr">
        <is>
          <t>Celkem</t>
        </is>
      </c>
      <c r="Y44" s="132">
        <f>SUM(Y3:Y14)</f>
        <v/>
      </c>
      <c r="Z44" s="133">
        <f>Y2</f>
        <v/>
      </c>
      <c r="AA44" s="132">
        <f>SUM(AA3:AA14)</f>
        <v/>
      </c>
      <c r="AB44" s="133">
        <f>AA2</f>
        <v/>
      </c>
      <c r="AC44" s="132">
        <f>SUM(AC3:AC14)</f>
        <v/>
      </c>
      <c r="AD44" s="133">
        <f>AC2</f>
        <v/>
      </c>
      <c r="AE44" s="131">
        <f>SUM(AE3:AE42)</f>
        <v/>
      </c>
      <c r="AF44" s="130" t="n"/>
      <c r="AG44" s="129">
        <f>SUM(AG3:AG42)</f>
        <v/>
      </c>
      <c r="AH44" s="99" t="n"/>
      <c r="AI44" s="59" t="n"/>
      <c r="AJ44" s="59" t="n"/>
      <c r="AK44" s="59" t="n"/>
    </row>
    <row r="45">
      <c r="A45" s="134" t="n"/>
      <c r="B45" s="135" t="n"/>
      <c r="C45" s="136" t="n"/>
      <c r="D45" s="135" t="n"/>
      <c r="E45" s="135" t="n"/>
      <c r="F45" s="136" t="n"/>
      <c r="G45" s="135" t="n"/>
      <c r="H45" s="136" t="n"/>
      <c r="I45" s="135" t="n"/>
      <c r="J45" s="135" t="n"/>
      <c r="K45" s="136" t="n"/>
      <c r="L45" s="135" t="n"/>
      <c r="M45" s="137">
        <f>N3+N4+N5+N6+N7+N8+N9+N10</f>
        <v/>
      </c>
      <c r="N45" s="138" t="n"/>
      <c r="O45" s="139" t="n">
        <v>0</v>
      </c>
      <c r="P45" s="140" t="inlineStr">
        <is>
          <t>Leden</t>
        </is>
      </c>
      <c r="Q45" s="141">
        <f>Q3+Q4+Q5+Q6+Q7+Q8+Q9+Q11+Q11+Q10</f>
        <v/>
      </c>
      <c r="R45" s="140">
        <f>P45</f>
        <v/>
      </c>
      <c r="S45" s="139">
        <f>S44</f>
        <v/>
      </c>
      <c r="T45" s="140">
        <f>P45</f>
        <v/>
      </c>
      <c r="U45" s="139" t="n">
        <v>0</v>
      </c>
      <c r="V45" s="140">
        <f>P45</f>
        <v/>
      </c>
      <c r="W45" s="139" t="n">
        <v>0</v>
      </c>
      <c r="X45" s="140">
        <f>P45</f>
        <v/>
      </c>
      <c r="Y45" s="139" t="n">
        <v>0</v>
      </c>
      <c r="Z45" s="140">
        <f>P45</f>
        <v/>
      </c>
      <c r="AA45" s="139" t="n">
        <v>0</v>
      </c>
      <c r="AB45" s="140">
        <f>P45</f>
        <v/>
      </c>
      <c r="AC45" s="139" t="n">
        <v>0</v>
      </c>
      <c r="AD45" s="140">
        <f>P45</f>
        <v/>
      </c>
      <c r="AE45" s="135" t="n"/>
      <c r="AF45" s="135" t="n"/>
      <c r="AG45" s="136" t="n"/>
      <c r="AH45" s="99" t="n"/>
      <c r="AI45" s="59" t="n"/>
      <c r="AJ45" s="59" t="n"/>
      <c r="AK45" s="59" t="n"/>
    </row>
    <row r="46">
      <c r="A46" s="142" t="n"/>
      <c r="B46" s="143" t="n"/>
      <c r="C46" s="144" t="n"/>
      <c r="D46" s="143" t="n"/>
      <c r="E46" s="143" t="n"/>
      <c r="F46" s="144" t="n"/>
      <c r="G46" s="143" t="n"/>
      <c r="H46" s="144" t="n"/>
      <c r="I46" s="143" t="n"/>
      <c r="J46" s="143" t="n"/>
      <c r="K46" s="144" t="n"/>
      <c r="L46" s="143" t="n"/>
      <c r="M46" s="143" t="n"/>
      <c r="N46" s="144" t="n"/>
      <c r="O46" s="145">
        <f>O44-O45</f>
        <v/>
      </c>
      <c r="P46" s="146" t="inlineStr">
        <is>
          <t>Únor</t>
        </is>
      </c>
      <c r="Q46" s="147" t="n"/>
      <c r="R46" s="146">
        <f>P46</f>
        <v/>
      </c>
      <c r="S46" s="147" t="n"/>
      <c r="T46" s="146">
        <f>P46</f>
        <v/>
      </c>
      <c r="U46" s="145">
        <f>U44-U45</f>
        <v/>
      </c>
      <c r="V46" s="146">
        <f>P46</f>
        <v/>
      </c>
      <c r="W46" s="148">
        <f>W44-W45</f>
        <v/>
      </c>
      <c r="X46" s="146">
        <f>P46</f>
        <v/>
      </c>
      <c r="Y46" s="148">
        <f>Y44-Y45</f>
        <v/>
      </c>
      <c r="Z46" s="146">
        <f>P46</f>
        <v/>
      </c>
      <c r="AA46" s="148">
        <f>AA44-AA45</f>
        <v/>
      </c>
      <c r="AB46" s="146">
        <f>P46</f>
        <v/>
      </c>
      <c r="AC46" s="148">
        <f>AC44-AC45</f>
        <v/>
      </c>
      <c r="AD46" s="146">
        <f>P46</f>
        <v/>
      </c>
      <c r="AE46" s="143" t="n"/>
      <c r="AF46" s="143" t="n"/>
      <c r="AG46" s="144" t="n"/>
      <c r="AH46" s="99" t="n"/>
      <c r="AI46" s="59" t="n"/>
      <c r="AJ46" s="59" t="n"/>
      <c r="AK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149" t="n"/>
      <c r="P47" s="59" t="n"/>
      <c r="Q47" s="150" t="n"/>
      <c r="R47" s="99" t="n"/>
      <c r="S47" s="59" t="n"/>
      <c r="T47" s="59" t="n"/>
      <c r="U47" s="151" t="n"/>
      <c r="V47" s="99" t="n"/>
      <c r="W47" s="59" t="n"/>
      <c r="X47" s="152" t="n"/>
      <c r="Y47" s="132">
        <f>SUM(Y16:Y27)</f>
        <v/>
      </c>
      <c r="Z47" s="133">
        <f>Y15</f>
        <v/>
      </c>
      <c r="AA47" s="132">
        <f>SUM(AA16:AA27)</f>
        <v/>
      </c>
      <c r="AB47" s="133">
        <f>AA15</f>
        <v/>
      </c>
      <c r="AC47" s="132">
        <f>SUM(AC16:AC27)</f>
        <v/>
      </c>
      <c r="AD47" s="133">
        <f>AC15</f>
        <v/>
      </c>
      <c r="AE47" s="59" t="n"/>
      <c r="AF47" s="59" t="n"/>
      <c r="AG47" s="59" t="n"/>
      <c r="AH47" s="99" t="n"/>
      <c r="AI47" s="59" t="n"/>
      <c r="AJ47" s="59" t="n"/>
      <c r="AK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150" t="n"/>
      <c r="R48" s="99" t="n"/>
      <c r="S48" s="59" t="n"/>
      <c r="T48" s="59" t="n"/>
      <c r="U48" s="153" t="n"/>
      <c r="V48" s="59" t="n"/>
      <c r="W48" s="59" t="n"/>
      <c r="X48" s="152" t="n"/>
      <c r="Y48" s="139" t="n">
        <v>0</v>
      </c>
      <c r="Z48" s="140">
        <f>P45</f>
        <v/>
      </c>
      <c r="AA48" s="139" t="n">
        <v>0</v>
      </c>
      <c r="AB48" s="140">
        <f>P45</f>
        <v/>
      </c>
      <c r="AC48" s="139" t="n">
        <v>0</v>
      </c>
      <c r="AD48" s="140">
        <f>P45</f>
        <v/>
      </c>
      <c r="AE48" s="59" t="n"/>
      <c r="AF48" s="59" t="n"/>
      <c r="AG48" s="59" t="n"/>
      <c r="AH48" s="99" t="n"/>
      <c r="AI48" s="59" t="n"/>
      <c r="AJ48" s="59" t="n"/>
      <c r="AK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150" t="n"/>
      <c r="R49" s="99" t="n"/>
      <c r="S49" s="59" t="n"/>
      <c r="T49" s="59" t="n"/>
      <c r="U49" s="59" t="n"/>
      <c r="V49" s="59" t="n"/>
      <c r="W49" s="59" t="n"/>
      <c r="X49" s="152" t="n"/>
      <c r="Y49" s="148">
        <f>Y47-Y48</f>
        <v/>
      </c>
      <c r="Z49" s="146">
        <f>P46</f>
        <v/>
      </c>
      <c r="AA49" s="148">
        <f>AA47-AA48</f>
        <v/>
      </c>
      <c r="AB49" s="146">
        <f>P46</f>
        <v/>
      </c>
      <c r="AC49" s="148">
        <f>AC47-AC48</f>
        <v/>
      </c>
      <c r="AD49" s="146">
        <f>P46</f>
        <v/>
      </c>
      <c r="AE49" s="59" t="n"/>
      <c r="AF49" s="59" t="n"/>
      <c r="AG49" s="59" t="n"/>
      <c r="AH49" s="99" t="n"/>
      <c r="AI49" s="59" t="n"/>
      <c r="AJ49" s="59" t="n"/>
      <c r="AK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152" t="n"/>
      <c r="Y50" s="132">
        <f>SUM(Y30:Y42)</f>
        <v/>
      </c>
      <c r="Z50" s="133">
        <f>Y28</f>
        <v/>
      </c>
      <c r="AA50" s="132">
        <f>SUM(AA30:AA42)</f>
        <v/>
      </c>
      <c r="AB50" s="133">
        <f>AA28</f>
        <v/>
      </c>
      <c r="AC50" s="132">
        <f>SUM(AC30:AC42)</f>
        <v/>
      </c>
      <c r="AD50" s="154">
        <f>AC28</f>
        <v/>
      </c>
      <c r="AE50" s="59" t="n"/>
      <c r="AF50" s="59" t="n"/>
      <c r="AG50" s="59" t="n"/>
      <c r="AH50" s="99" t="n"/>
      <c r="AI50" s="59" t="n"/>
      <c r="AJ50" s="59" t="n"/>
      <c r="AK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149" t="n"/>
      <c r="R51" s="59" t="n"/>
      <c r="S51" s="59" t="n"/>
      <c r="T51" s="59" t="n"/>
      <c r="U51" s="59" t="n"/>
      <c r="V51" s="59" t="n"/>
      <c r="W51" s="59" t="n"/>
      <c r="X51" s="152" t="n"/>
      <c r="Y51" s="139" t="n">
        <v>0</v>
      </c>
      <c r="Z51" s="140">
        <f>P45</f>
        <v/>
      </c>
      <c r="AA51" s="139" t="n">
        <v>0</v>
      </c>
      <c r="AB51" s="140">
        <f>P45</f>
        <v/>
      </c>
      <c r="AC51" s="139" t="n">
        <v>0</v>
      </c>
      <c r="AD51" s="140">
        <f>P45</f>
        <v/>
      </c>
      <c r="AE51" s="59" t="n"/>
      <c r="AF51" s="59" t="n"/>
      <c r="AG51" s="59" t="n"/>
      <c r="AH51" s="99" t="n"/>
      <c r="AI51" s="59" t="n"/>
      <c r="AJ51" s="59" t="n"/>
      <c r="AK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149" t="n"/>
      <c r="R52" s="59" t="n"/>
      <c r="S52" s="59" t="n"/>
      <c r="T52" s="59" t="n"/>
      <c r="U52" s="59" t="n"/>
      <c r="V52" s="59" t="n"/>
      <c r="W52" s="59" t="n"/>
      <c r="X52" s="152" t="n"/>
      <c r="Y52" s="148">
        <f>Y50-Y51</f>
        <v/>
      </c>
      <c r="Z52" s="146">
        <f>P46</f>
        <v/>
      </c>
      <c r="AA52" s="148">
        <f>AA50-AA51</f>
        <v/>
      </c>
      <c r="AB52" s="146">
        <f>P46</f>
        <v/>
      </c>
      <c r="AC52" s="148">
        <f>AC50-AC51</f>
        <v/>
      </c>
      <c r="AD52" s="146">
        <f>P46</f>
        <v/>
      </c>
      <c r="AE52" s="59" t="n"/>
      <c r="AF52" s="59" t="n"/>
      <c r="AG52" s="59" t="n"/>
      <c r="AH52" s="99" t="n"/>
      <c r="AI52" s="59" t="n"/>
      <c r="AJ52" s="59" t="n"/>
      <c r="AK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99" t="n"/>
      <c r="AI53" s="59" t="n"/>
      <c r="AJ53" s="59" t="n"/>
      <c r="AK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87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99" t="n"/>
      <c r="AI54" s="59" t="n"/>
      <c r="AJ54" s="59" t="n"/>
      <c r="AK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87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99" t="n"/>
      <c r="AI55" s="59" t="n"/>
      <c r="AJ55" s="59" t="n"/>
      <c r="AK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99" t="n"/>
      <c r="AI56" s="59" t="n"/>
      <c r="AJ56" s="59" t="n"/>
      <c r="AK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  <c r="AD57" s="59" t="n"/>
      <c r="AE57" s="59" t="n"/>
      <c r="AF57" s="59" t="n"/>
      <c r="AG57" s="59" t="n"/>
      <c r="AH57" s="99" t="n"/>
      <c r="AI57" s="59" t="n"/>
      <c r="AJ57" s="59" t="n"/>
      <c r="AK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  <c r="AD58" s="59" t="n"/>
      <c r="AE58" s="59" t="n"/>
      <c r="AF58" s="59" t="n"/>
      <c r="AG58" s="59" t="n"/>
      <c r="AH58" s="99" t="n"/>
      <c r="AI58" s="59" t="n"/>
      <c r="AJ58" s="59" t="n"/>
      <c r="AK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14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  <c r="AD59" s="59" t="n"/>
      <c r="AE59" s="59" t="n"/>
      <c r="AF59" s="59" t="n"/>
      <c r="AG59" s="59" t="n"/>
      <c r="AH59" s="99" t="n"/>
      <c r="AI59" s="59" t="n"/>
      <c r="AJ59" s="59" t="n"/>
      <c r="AK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  <c r="AD60" s="59" t="n"/>
      <c r="AE60" s="59" t="n"/>
      <c r="AF60" s="59" t="n"/>
      <c r="AG60" s="59" t="n"/>
      <c r="AH60" s="99" t="n"/>
      <c r="AI60" s="59" t="n"/>
      <c r="AJ60" s="59" t="n"/>
      <c r="AK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87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  <c r="AD61" s="59" t="n"/>
      <c r="AE61" s="59" t="n"/>
      <c r="AF61" s="59" t="n"/>
      <c r="AG61" s="59" t="n"/>
      <c r="AH61" s="99" t="n"/>
      <c r="AI61" s="59" t="n"/>
      <c r="AJ61" s="59" t="n"/>
      <c r="AK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  <c r="AD62" s="59" t="n"/>
      <c r="AE62" s="59" t="n"/>
      <c r="AF62" s="59" t="n"/>
      <c r="AG62" s="59" t="n"/>
      <c r="AH62" s="99" t="n"/>
      <c r="AI62" s="59" t="n"/>
      <c r="AJ62" s="59" t="n"/>
      <c r="AK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  <c r="AD63" s="59" t="n"/>
      <c r="AE63" s="59" t="n"/>
      <c r="AF63" s="59" t="n"/>
      <c r="AG63" s="59" t="n"/>
      <c r="AH63" s="99" t="n"/>
      <c r="AI63" s="59" t="n"/>
      <c r="AJ63" s="59" t="n"/>
      <c r="AK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  <c r="AD64" s="59" t="n"/>
      <c r="AE64" s="59" t="n"/>
      <c r="AF64" s="59" t="n"/>
      <c r="AG64" s="59" t="n"/>
      <c r="AH64" s="99" t="n"/>
      <c r="AI64" s="59" t="n"/>
      <c r="AJ64" s="59" t="n"/>
      <c r="AK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99" t="n"/>
      <c r="AI65" s="59" t="n"/>
      <c r="AJ65" s="59" t="n"/>
      <c r="AK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  <c r="AF66" s="59" t="n"/>
      <c r="AG66" s="59" t="n"/>
      <c r="AH66" s="99" t="n"/>
      <c r="AI66" s="59" t="n"/>
      <c r="AJ66" s="59" t="n"/>
      <c r="AK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99" t="n"/>
      <c r="AI67" s="59" t="n"/>
      <c r="AJ67" s="59" t="n"/>
      <c r="AK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  <c r="AD68" s="59" t="n"/>
      <c r="AE68" s="59" t="n"/>
      <c r="AF68" s="59" t="n"/>
      <c r="AG68" s="59" t="n"/>
      <c r="AH68" s="99" t="n"/>
      <c r="AI68" s="59" t="n"/>
      <c r="AJ68" s="59" t="n"/>
      <c r="AK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99" t="n"/>
      <c r="AI69" s="59" t="n"/>
      <c r="AJ69" s="59" t="n"/>
      <c r="AK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  <c r="AF70" s="59" t="n"/>
      <c r="AG70" s="59" t="n"/>
      <c r="AH70" s="99" t="n"/>
      <c r="AI70" s="59" t="n"/>
      <c r="AJ70" s="59" t="n"/>
      <c r="AK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  <c r="AD71" s="59" t="n"/>
      <c r="AE71" s="59" t="n"/>
      <c r="AF71" s="59" t="n"/>
      <c r="AG71" s="59" t="n"/>
      <c r="AH71" s="99" t="n"/>
      <c r="AI71" s="59" t="n"/>
      <c r="AJ71" s="59" t="n"/>
      <c r="AK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  <c r="AD72" s="59" t="n"/>
      <c r="AE72" s="59" t="n"/>
      <c r="AF72" s="59" t="n"/>
      <c r="AG72" s="59" t="n"/>
      <c r="AH72" s="99" t="n"/>
      <c r="AI72" s="59" t="n"/>
      <c r="AJ72" s="59" t="n"/>
      <c r="AK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  <c r="AD73" s="59" t="n"/>
      <c r="AE73" s="59" t="n"/>
      <c r="AF73" s="59" t="n"/>
      <c r="AG73" s="59" t="n"/>
      <c r="AH73" s="99" t="n"/>
      <c r="AI73" s="59" t="n"/>
      <c r="AJ73" s="59" t="n"/>
      <c r="AK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  <c r="AF74" s="59" t="n"/>
      <c r="AG74" s="59" t="n"/>
      <c r="AH74" s="99" t="n"/>
      <c r="AI74" s="59" t="n"/>
      <c r="AJ74" s="59" t="n"/>
      <c r="AK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  <c r="AF75" s="59" t="n"/>
      <c r="AG75" s="59" t="n"/>
      <c r="AH75" s="99" t="n"/>
      <c r="AI75" s="59" t="n"/>
      <c r="AJ75" s="59" t="n"/>
      <c r="AK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  <c r="AD76" s="59" t="n"/>
      <c r="AE76" s="59" t="n"/>
      <c r="AF76" s="59" t="n"/>
      <c r="AG76" s="59" t="n"/>
      <c r="AH76" s="99" t="n"/>
      <c r="AI76" s="59" t="n"/>
      <c r="AJ76" s="59" t="n"/>
      <c r="AK76" s="59" t="n"/>
    </row>
  </sheetData>
  <mergeCells count="25">
    <mergeCell ref="G43:H43"/>
    <mergeCell ref="Y43:Z43"/>
    <mergeCell ref="AA43:AB43"/>
    <mergeCell ref="Q43:R43"/>
    <mergeCell ref="S43:T43"/>
    <mergeCell ref="I43:K43"/>
    <mergeCell ref="L1:N1"/>
    <mergeCell ref="AH4:AI4"/>
    <mergeCell ref="AE1:AG1"/>
    <mergeCell ref="AH1:AI1"/>
    <mergeCell ref="I1:K1"/>
    <mergeCell ref="O1:P1"/>
    <mergeCell ref="AC43:AD43"/>
    <mergeCell ref="A43:C43"/>
    <mergeCell ref="AH9:AI9"/>
    <mergeCell ref="W43:X43"/>
    <mergeCell ref="O43:P43"/>
    <mergeCell ref="U43:V43"/>
    <mergeCell ref="Q1:AD1"/>
    <mergeCell ref="AJ4:AK4"/>
    <mergeCell ref="G1:H1"/>
    <mergeCell ref="A1:F1"/>
    <mergeCell ref="AJ1:AK1"/>
    <mergeCell ref="L43:N43"/>
    <mergeCell ref="AE43:AG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59" min="1" max="14"/>
  </cols>
  <sheetData>
    <row r="1">
      <c r="A1" s="0" t="inlineStr">
        <is>
          <t>Měsíční výkaz práce - Srpen 2025</t>
        </is>
      </c>
    </row>
    <row r="2">
      <c r="A2" s="1" t="inlineStr">
        <is>
          <t>Den</t>
        </is>
      </c>
      <c r="B2" s="1" t="inlineStr">
        <is>
          <t>Datum</t>
        </is>
      </c>
      <c r="C2" s="1" t="inlineStr">
        <is>
          <t>Den v týdnu</t>
        </is>
      </c>
      <c r="D2" s="1" t="inlineStr">
        <is>
          <t>Svátek</t>
        </is>
      </c>
      <c r="E2" s="1" t="inlineStr">
        <is>
          <t>Začátek</t>
        </is>
      </c>
      <c r="F2" s="1" t="inlineStr">
        <is>
          <t>Oběd (h)</t>
        </is>
      </c>
      <c r="G2" s="1" t="inlineStr">
        <is>
          <t>Konec</t>
        </is>
      </c>
      <c r="H2" s="1" t="inlineStr">
        <is>
          <t>Celkem hodin</t>
        </is>
      </c>
      <c r="I2" s="1" t="inlineStr">
        <is>
          <t>Přesčasy</t>
        </is>
      </c>
      <c r="J2" s="1" t="inlineStr">
        <is>
          <t>Noční práce</t>
        </is>
      </c>
      <c r="K2" s="1" t="inlineStr">
        <is>
          <t>Víkend</t>
        </is>
      </c>
      <c r="L2" s="1" t="inlineStr">
        <is>
          <t>Svátky</t>
        </is>
      </c>
      <c r="M2" s="1" t="inlineStr">
        <is>
          <t>Zaměstnanci</t>
        </is>
      </c>
      <c r="N2" s="1" t="inlineStr">
        <is>
          <t>Celkem odpracováno</t>
        </is>
      </c>
    </row>
    <row r="3">
      <c r="A3" s="0" t="n">
        <v>1</v>
      </c>
      <c r="B3" s="0" t="inlineStr">
        <is>
          <t>01.08.2025</t>
        </is>
      </c>
      <c r="C3" s="0" t="inlineStr">
        <is>
          <t>Pá</t>
        </is>
      </c>
      <c r="H3" s="0">
        <f>IF(AND(E3&lt;&gt;"",G3&lt;&gt;""),(G3-E3)*24-F3,0)</f>
        <v/>
      </c>
      <c r="I3" s="0">
        <f>MAX(0,H3-8)</f>
        <v/>
      </c>
      <c r="N3" s="0">
        <f>H3*M3</f>
        <v/>
      </c>
    </row>
    <row r="4">
      <c r="A4" s="155" t="n">
        <v>2</v>
      </c>
      <c r="B4" s="155" t="inlineStr">
        <is>
          <t>02.08.2025</t>
        </is>
      </c>
      <c r="C4" s="155" t="inlineStr">
        <is>
          <t>So</t>
        </is>
      </c>
      <c r="D4" s="155" t="n"/>
      <c r="E4" s="155" t="n"/>
      <c r="F4" s="155" t="n"/>
      <c r="G4" s="155" t="n"/>
      <c r="H4" s="155">
        <f>IF(AND(E4&lt;&gt;"",G4&lt;&gt;""),(G4-E4)*24-F4,0)</f>
        <v/>
      </c>
      <c r="I4" s="155">
        <f>MAX(0,H4-8)</f>
        <v/>
      </c>
      <c r="J4" s="155" t="n"/>
      <c r="K4" s="155" t="n"/>
      <c r="L4" s="155" t="n"/>
      <c r="M4" s="155" t="n"/>
      <c r="N4" s="155">
        <f>H4*M4</f>
        <v/>
      </c>
    </row>
    <row r="5">
      <c r="A5" s="155" t="n">
        <v>3</v>
      </c>
      <c r="B5" s="155" t="inlineStr">
        <is>
          <t>03.08.2025</t>
        </is>
      </c>
      <c r="C5" s="155" t="inlineStr">
        <is>
          <t>Ne</t>
        </is>
      </c>
      <c r="D5" s="155" t="n"/>
      <c r="E5" s="155" t="n"/>
      <c r="F5" s="155" t="n"/>
      <c r="G5" s="155" t="n"/>
      <c r="H5" s="155">
        <f>IF(AND(E5&lt;&gt;"",G5&lt;&gt;""),(G5-E5)*24-F5,0)</f>
        <v/>
      </c>
      <c r="I5" s="155">
        <f>MAX(0,H5-8)</f>
        <v/>
      </c>
      <c r="J5" s="155" t="n"/>
      <c r="K5" s="155" t="n"/>
      <c r="L5" s="155" t="n"/>
      <c r="M5" s="155" t="n"/>
      <c r="N5" s="155">
        <f>H5*M5</f>
        <v/>
      </c>
    </row>
    <row r="6">
      <c r="A6" s="0" t="n">
        <v>4</v>
      </c>
      <c r="B6" s="0" t="inlineStr">
        <is>
          <t>04.08.2025</t>
        </is>
      </c>
      <c r="C6" s="0" t="inlineStr">
        <is>
          <t>Po</t>
        </is>
      </c>
      <c r="H6" s="0">
        <f>IF(AND(E6&lt;&gt;"",G6&lt;&gt;""),(G6-E6)*24-F6,0)</f>
        <v/>
      </c>
      <c r="I6" s="0">
        <f>MAX(0,H6-8)</f>
        <v/>
      </c>
      <c r="N6" s="0">
        <f>H6*M6</f>
        <v/>
      </c>
    </row>
    <row r="7">
      <c r="A7" s="0" t="n">
        <v>5</v>
      </c>
      <c r="B7" s="0" t="inlineStr">
        <is>
          <t>05.08.2025</t>
        </is>
      </c>
      <c r="C7" s="0" t="inlineStr">
        <is>
          <t>Út</t>
        </is>
      </c>
      <c r="H7" s="0">
        <f>IF(AND(E7&lt;&gt;"",G7&lt;&gt;""),(G7-E7)*24-F7,0)</f>
        <v/>
      </c>
      <c r="I7" s="0">
        <f>MAX(0,H7-8)</f>
        <v/>
      </c>
      <c r="N7" s="0">
        <f>H7*M7</f>
        <v/>
      </c>
    </row>
    <row r="8">
      <c r="A8" s="0" t="n">
        <v>6</v>
      </c>
      <c r="B8" s="0" t="inlineStr">
        <is>
          <t>06.08.2025</t>
        </is>
      </c>
      <c r="C8" s="0" t="inlineStr">
        <is>
          <t>St</t>
        </is>
      </c>
      <c r="H8" s="0">
        <f>IF(AND(E8&lt;&gt;"",G8&lt;&gt;""),(G8-E8)*24-F8,0)</f>
        <v/>
      </c>
      <c r="I8" s="0">
        <f>MAX(0,H8-8)</f>
        <v/>
      </c>
      <c r="N8" s="0">
        <f>H8*M8</f>
        <v/>
      </c>
    </row>
    <row r="9">
      <c r="A9" s="0" t="n">
        <v>7</v>
      </c>
      <c r="B9" s="0" t="inlineStr">
        <is>
          <t>07.08.2025</t>
        </is>
      </c>
      <c r="C9" s="0" t="inlineStr">
        <is>
          <t>Čt</t>
        </is>
      </c>
      <c r="H9" s="0">
        <f>IF(AND(E9&lt;&gt;"",G9&lt;&gt;""),(G9-E9)*24-F9,0)</f>
        <v/>
      </c>
      <c r="I9" s="0">
        <f>MAX(0,H9-8)</f>
        <v/>
      </c>
      <c r="N9" s="0">
        <f>H9*M9</f>
        <v/>
      </c>
    </row>
    <row r="10">
      <c r="A10" s="0" t="n">
        <v>8</v>
      </c>
      <c r="B10" s="0" t="inlineStr">
        <is>
          <t>08.08.2025</t>
        </is>
      </c>
      <c r="C10" s="0" t="inlineStr">
        <is>
          <t>Pá</t>
        </is>
      </c>
      <c r="H10" s="0">
        <f>IF(AND(E10&lt;&gt;"",G10&lt;&gt;""),(G10-E10)*24-F10,0)</f>
        <v/>
      </c>
      <c r="I10" s="0">
        <f>MAX(0,H10-8)</f>
        <v/>
      </c>
      <c r="N10" s="0">
        <f>H10*M10</f>
        <v/>
      </c>
    </row>
    <row r="11">
      <c r="A11" s="155" t="n">
        <v>9</v>
      </c>
      <c r="B11" s="155" t="inlineStr">
        <is>
          <t>09.08.2025</t>
        </is>
      </c>
      <c r="C11" s="155" t="inlineStr">
        <is>
          <t>So</t>
        </is>
      </c>
      <c r="D11" s="155" t="n"/>
      <c r="E11" s="155" t="n"/>
      <c r="F11" s="155" t="n"/>
      <c r="G11" s="155" t="n"/>
      <c r="H11" s="155">
        <f>IF(AND(E11&lt;&gt;"",G11&lt;&gt;""),(G11-E11)*24-F11,0)</f>
        <v/>
      </c>
      <c r="I11" s="155">
        <f>MAX(0,H11-8)</f>
        <v/>
      </c>
      <c r="J11" s="155" t="n"/>
      <c r="K11" s="155" t="n"/>
      <c r="L11" s="155" t="n"/>
      <c r="M11" s="155" t="n"/>
      <c r="N11" s="155">
        <f>H11*M11</f>
        <v/>
      </c>
    </row>
    <row r="12">
      <c r="A12" s="155" t="n">
        <v>10</v>
      </c>
      <c r="B12" s="155" t="inlineStr">
        <is>
          <t>10.08.2025</t>
        </is>
      </c>
      <c r="C12" s="155" t="inlineStr">
        <is>
          <t>Ne</t>
        </is>
      </c>
      <c r="D12" s="155" t="n"/>
      <c r="E12" s="155" t="n"/>
      <c r="F12" s="155" t="n"/>
      <c r="G12" s="155" t="n"/>
      <c r="H12" s="155">
        <f>IF(AND(E12&lt;&gt;"",G12&lt;&gt;""),(G12-E12)*24-F12,0)</f>
        <v/>
      </c>
      <c r="I12" s="155">
        <f>MAX(0,H12-8)</f>
        <v/>
      </c>
      <c r="J12" s="155" t="n"/>
      <c r="K12" s="155" t="n"/>
      <c r="L12" s="155" t="n"/>
      <c r="M12" s="155" t="n"/>
      <c r="N12" s="155">
        <f>H12*M12</f>
        <v/>
      </c>
    </row>
    <row r="13">
      <c r="A13" s="0" t="n">
        <v>11</v>
      </c>
      <c r="B13" s="0" t="inlineStr">
        <is>
          <t>11.08.2025</t>
        </is>
      </c>
      <c r="C13" s="0" t="inlineStr">
        <is>
          <t>Po</t>
        </is>
      </c>
      <c r="H13" s="0">
        <f>IF(AND(E13&lt;&gt;"",G13&lt;&gt;""),(G13-E13)*24-F13,0)</f>
        <v/>
      </c>
      <c r="I13" s="0">
        <f>MAX(0,H13-8)</f>
        <v/>
      </c>
      <c r="N13" s="0">
        <f>H13*M13</f>
        <v/>
      </c>
    </row>
    <row r="14">
      <c r="A14" s="0" t="n">
        <v>12</v>
      </c>
      <c r="B14" s="0" t="inlineStr">
        <is>
          <t>12.08.2025</t>
        </is>
      </c>
      <c r="C14" s="0" t="inlineStr">
        <is>
          <t>Út</t>
        </is>
      </c>
      <c r="H14" s="0">
        <f>IF(AND(E14&lt;&gt;"",G14&lt;&gt;""),(G14-E14)*24-F14,0)</f>
        <v/>
      </c>
      <c r="I14" s="0">
        <f>MAX(0,H14-8)</f>
        <v/>
      </c>
      <c r="N14" s="0">
        <f>H14*M14</f>
        <v/>
      </c>
    </row>
    <row r="15">
      <c r="A15" s="0" t="n">
        <v>13</v>
      </c>
      <c r="B15" s="0" t="inlineStr">
        <is>
          <t>13.08.2025</t>
        </is>
      </c>
      <c r="C15" s="0" t="inlineStr">
        <is>
          <t>St</t>
        </is>
      </c>
      <c r="E15" s="174" t="n">
        <v>0.3333333333333333</v>
      </c>
      <c r="F15" s="175" t="n">
        <v>1</v>
      </c>
      <c r="G15" s="174" t="n">
        <v>0.6875</v>
      </c>
      <c r="H15" s="0">
        <f>IF(AND(E15&lt;&gt;"",G15&lt;&gt;""),(G15-E15)*24-F15,0)</f>
        <v/>
      </c>
      <c r="I15" s="0">
        <f>MAX(0,H15-8)</f>
        <v/>
      </c>
      <c r="M15" s="0" t="n">
        <v>5</v>
      </c>
      <c r="N15" s="0">
        <f>H15*M15</f>
        <v/>
      </c>
    </row>
    <row r="16">
      <c r="A16" s="0" t="n">
        <v>14</v>
      </c>
      <c r="B16" s="0" t="inlineStr">
        <is>
          <t>14.08.2025</t>
        </is>
      </c>
      <c r="C16" s="0" t="inlineStr">
        <is>
          <t>Čt</t>
        </is>
      </c>
      <c r="E16" s="174" t="n">
        <v>0.2916666666666667</v>
      </c>
      <c r="F16" s="175" t="n">
        <v>1</v>
      </c>
      <c r="G16" s="174" t="n">
        <v>0.75</v>
      </c>
      <c r="H16" s="0">
        <f>IF(AND(E16&lt;&gt;"",G16&lt;&gt;""),(G16-E16)*24-F16,0)</f>
        <v/>
      </c>
      <c r="I16" s="0">
        <f>MAX(0,H16-8)</f>
        <v/>
      </c>
      <c r="M16" s="0" t="n">
        <v>3</v>
      </c>
      <c r="N16" s="0">
        <f>H16*M16</f>
        <v/>
      </c>
    </row>
    <row r="17">
      <c r="A17" s="0" t="n">
        <v>15</v>
      </c>
      <c r="B17" s="0" t="inlineStr">
        <is>
          <t>15.08.2025</t>
        </is>
      </c>
      <c r="C17" s="0" t="inlineStr">
        <is>
          <t>Pá</t>
        </is>
      </c>
      <c r="F17" s="175" t="n">
        <v>0</v>
      </c>
      <c r="H17" s="0">
        <f>IF(AND(E17&lt;&gt;"",G17&lt;&gt;""),(G17-E17)*24-F17,0)</f>
        <v/>
      </c>
      <c r="I17" s="0">
        <f>MAX(0,H17-8)</f>
        <v/>
      </c>
      <c r="M17" t="n">
        <v>0</v>
      </c>
      <c r="N17" s="0">
        <f>H17*M17</f>
        <v/>
      </c>
    </row>
    <row r="18">
      <c r="A18" s="155" t="n">
        <v>16</v>
      </c>
      <c r="B18" s="155" t="inlineStr">
        <is>
          <t>16.08.2025</t>
        </is>
      </c>
      <c r="C18" s="155" t="inlineStr">
        <is>
          <t>So</t>
        </is>
      </c>
      <c r="D18" s="155" t="n"/>
      <c r="E18" s="155" t="n"/>
      <c r="F18" s="155" t="n"/>
      <c r="G18" s="155" t="n"/>
      <c r="H18" s="155">
        <f>IF(AND(E18&lt;&gt;"",G18&lt;&gt;""),(G18-E18)*24-F18,0)</f>
        <v/>
      </c>
      <c r="I18" s="155">
        <f>MAX(0,H18-8)</f>
        <v/>
      </c>
      <c r="J18" s="155" t="n"/>
      <c r="K18" s="155" t="n"/>
      <c r="L18" s="155" t="n"/>
      <c r="M18" s="155" t="n"/>
      <c r="N18" s="155">
        <f>H18*M18</f>
        <v/>
      </c>
    </row>
    <row r="19">
      <c r="A19" s="155" t="n">
        <v>17</v>
      </c>
      <c r="B19" s="155" t="inlineStr">
        <is>
          <t>17.08.2025</t>
        </is>
      </c>
      <c r="C19" s="155" t="inlineStr">
        <is>
          <t>Ne</t>
        </is>
      </c>
      <c r="D19" s="155" t="n"/>
      <c r="E19" s="155" t="n"/>
      <c r="F19" s="155" t="n"/>
      <c r="G19" s="155" t="n"/>
      <c r="H19" s="155">
        <f>IF(AND(E19&lt;&gt;"",G19&lt;&gt;""),(G19-E19)*24-F19,0)</f>
        <v/>
      </c>
      <c r="I19" s="155">
        <f>MAX(0,H19-8)</f>
        <v/>
      </c>
      <c r="J19" s="155" t="n"/>
      <c r="K19" s="155" t="n"/>
      <c r="L19" s="155" t="n"/>
      <c r="M19" s="155" t="n"/>
      <c r="N19" s="155">
        <f>H19*M19</f>
        <v/>
      </c>
    </row>
    <row r="20">
      <c r="A20" s="0" t="n">
        <v>18</v>
      </c>
      <c r="B20" s="0" t="inlineStr">
        <is>
          <t>18.08.2025</t>
        </is>
      </c>
      <c r="C20" s="0" t="inlineStr">
        <is>
          <t>Po</t>
        </is>
      </c>
      <c r="H20" s="0">
        <f>IF(AND(E20&lt;&gt;"",G20&lt;&gt;""),(G20-E20)*24-F20,0)</f>
        <v/>
      </c>
      <c r="I20" s="0">
        <f>MAX(0,H20-8)</f>
        <v/>
      </c>
      <c r="N20" s="0">
        <f>H20*M20</f>
        <v/>
      </c>
    </row>
    <row r="21" ht="15.75" customHeight="1" s="159">
      <c r="A21" s="0" t="n">
        <v>19</v>
      </c>
      <c r="B21" s="0" t="inlineStr">
        <is>
          <t>19.08.2025</t>
        </is>
      </c>
      <c r="C21" s="0" t="inlineStr">
        <is>
          <t>Út</t>
        </is>
      </c>
      <c r="H21" s="0">
        <f>IF(AND(E21&lt;&gt;"",G21&lt;&gt;""),(G21-E21)*24-F21,0)</f>
        <v/>
      </c>
      <c r="I21" s="0">
        <f>MAX(0,H21-8)</f>
        <v/>
      </c>
      <c r="N21" s="0">
        <f>H21*M21</f>
        <v/>
      </c>
    </row>
    <row r="22" ht="15.75" customHeight="1" s="159">
      <c r="A22" s="0" t="n">
        <v>20</v>
      </c>
      <c r="B22" s="0" t="inlineStr">
        <is>
          <t>20.08.2025</t>
        </is>
      </c>
      <c r="C22" s="0" t="inlineStr">
        <is>
          <t>St</t>
        </is>
      </c>
      <c r="H22" s="0">
        <f>IF(AND(E22&lt;&gt;"",G22&lt;&gt;""),(G22-E22)*24-F22,0)</f>
        <v/>
      </c>
      <c r="I22" s="0">
        <f>MAX(0,H22-8)</f>
        <v/>
      </c>
      <c r="N22" s="0">
        <f>H22*M22</f>
        <v/>
      </c>
    </row>
    <row r="23" ht="15.75" customHeight="1" s="159">
      <c r="A23" s="0" t="n">
        <v>21</v>
      </c>
      <c r="B23" s="0" t="inlineStr">
        <is>
          <t>21.08.2025</t>
        </is>
      </c>
      <c r="C23" s="0" t="inlineStr">
        <is>
          <t>Čt</t>
        </is>
      </c>
      <c r="H23" s="0">
        <f>IF(AND(E23&lt;&gt;"",G23&lt;&gt;""),(G23-E23)*24-F23,0)</f>
        <v/>
      </c>
      <c r="I23" s="0">
        <f>MAX(0,H23-8)</f>
        <v/>
      </c>
      <c r="N23" s="0">
        <f>H23*M23</f>
        <v/>
      </c>
    </row>
    <row r="24" ht="15.75" customHeight="1" s="159">
      <c r="A24" s="0" t="n">
        <v>22</v>
      </c>
      <c r="B24" s="0" t="inlineStr">
        <is>
          <t>22.08.2025</t>
        </is>
      </c>
      <c r="C24" s="0" t="inlineStr">
        <is>
          <t>Pá</t>
        </is>
      </c>
      <c r="H24" s="0">
        <f>IF(AND(E24&lt;&gt;"",G24&lt;&gt;""),(G24-E24)*24-F24,0)</f>
        <v/>
      </c>
      <c r="I24" s="0">
        <f>MAX(0,H24-8)</f>
        <v/>
      </c>
      <c r="N24" s="0">
        <f>H24*M24</f>
        <v/>
      </c>
    </row>
    <row r="25" ht="15.75" customHeight="1" s="159">
      <c r="A25" s="155" t="n">
        <v>23</v>
      </c>
      <c r="B25" s="155" t="inlineStr">
        <is>
          <t>23.08.2025</t>
        </is>
      </c>
      <c r="C25" s="155" t="inlineStr">
        <is>
          <t>So</t>
        </is>
      </c>
      <c r="D25" s="155" t="n"/>
      <c r="E25" s="155" t="n"/>
      <c r="F25" s="155" t="n"/>
      <c r="G25" s="155" t="n"/>
      <c r="H25" s="155">
        <f>IF(AND(E25&lt;&gt;"",G25&lt;&gt;""),(G25-E25)*24-F25,0)</f>
        <v/>
      </c>
      <c r="I25" s="155">
        <f>MAX(0,H25-8)</f>
        <v/>
      </c>
      <c r="J25" s="155" t="n"/>
      <c r="K25" s="155" t="n"/>
      <c r="L25" s="155" t="n"/>
      <c r="M25" s="155" t="n"/>
      <c r="N25" s="155">
        <f>H25*M25</f>
        <v/>
      </c>
    </row>
    <row r="26" ht="15.75" customHeight="1" s="159">
      <c r="A26" s="155" t="n">
        <v>24</v>
      </c>
      <c r="B26" s="155" t="inlineStr">
        <is>
          <t>24.08.2025</t>
        </is>
      </c>
      <c r="C26" s="155" t="inlineStr">
        <is>
          <t>Ne</t>
        </is>
      </c>
      <c r="D26" s="155" t="n"/>
      <c r="E26" s="155" t="n"/>
      <c r="F26" s="155" t="n"/>
      <c r="G26" s="155" t="n"/>
      <c r="H26" s="155">
        <f>IF(AND(E26&lt;&gt;"",G26&lt;&gt;""),(G26-E26)*24-F26,0)</f>
        <v/>
      </c>
      <c r="I26" s="155">
        <f>MAX(0,H26-8)</f>
        <v/>
      </c>
      <c r="J26" s="155" t="n"/>
      <c r="K26" s="155" t="n"/>
      <c r="L26" s="155" t="n"/>
      <c r="M26" s="155" t="n"/>
      <c r="N26" s="155">
        <f>H26*M26</f>
        <v/>
      </c>
    </row>
    <row r="27" ht="15.75" customHeight="1" s="159">
      <c r="A27" s="0" t="n">
        <v>25</v>
      </c>
      <c r="B27" s="0" t="inlineStr">
        <is>
          <t>25.08.2025</t>
        </is>
      </c>
      <c r="C27" s="0" t="inlineStr">
        <is>
          <t>Po</t>
        </is>
      </c>
      <c r="H27" s="0">
        <f>IF(AND(E27&lt;&gt;"",G27&lt;&gt;""),(G27-E27)*24-F27,0)</f>
        <v/>
      </c>
      <c r="I27" s="0">
        <f>MAX(0,H27-8)</f>
        <v/>
      </c>
      <c r="N27" s="0">
        <f>H27*M27</f>
        <v/>
      </c>
    </row>
    <row r="28" ht="15.75" customHeight="1" s="159">
      <c r="A28" s="0" t="n">
        <v>26</v>
      </c>
      <c r="B28" s="0" t="inlineStr">
        <is>
          <t>26.08.2025</t>
        </is>
      </c>
      <c r="C28" s="0" t="inlineStr">
        <is>
          <t>Út</t>
        </is>
      </c>
      <c r="H28" s="0">
        <f>IF(AND(E28&lt;&gt;"",G28&lt;&gt;""),(G28-E28)*24-F28,0)</f>
        <v/>
      </c>
      <c r="I28" s="0">
        <f>MAX(0,H28-8)</f>
        <v/>
      </c>
      <c r="N28" s="0">
        <f>H28*M28</f>
        <v/>
      </c>
    </row>
    <row r="29" ht="15.75" customHeight="1" s="159">
      <c r="A29" s="0" t="n">
        <v>27</v>
      </c>
      <c r="B29" s="0" t="inlineStr">
        <is>
          <t>27.08.2025</t>
        </is>
      </c>
      <c r="C29" s="0" t="inlineStr">
        <is>
          <t>St</t>
        </is>
      </c>
      <c r="H29" s="0">
        <f>IF(AND(E29&lt;&gt;"",G29&lt;&gt;""),(G29-E29)*24-F29,0)</f>
        <v/>
      </c>
      <c r="I29" s="0">
        <f>MAX(0,H29-8)</f>
        <v/>
      </c>
      <c r="N29" s="0">
        <f>H29*M29</f>
        <v/>
      </c>
    </row>
    <row r="30" ht="15.75" customHeight="1" s="159">
      <c r="A30" s="0" t="n">
        <v>28</v>
      </c>
      <c r="B30" s="0" t="inlineStr">
        <is>
          <t>28.08.2025</t>
        </is>
      </c>
      <c r="C30" s="0" t="inlineStr">
        <is>
          <t>Čt</t>
        </is>
      </c>
      <c r="H30" s="0">
        <f>IF(AND(E30&lt;&gt;"",G30&lt;&gt;""),(G30-E30)*24-F30,0)</f>
        <v/>
      </c>
      <c r="I30" s="0">
        <f>MAX(0,H30-8)</f>
        <v/>
      </c>
      <c r="N30" s="0">
        <f>H30*M30</f>
        <v/>
      </c>
    </row>
    <row r="31" ht="15.75" customHeight="1" s="159">
      <c r="A31" s="0" t="n">
        <v>29</v>
      </c>
      <c r="B31" s="0" t="inlineStr">
        <is>
          <t>29.08.2025</t>
        </is>
      </c>
      <c r="C31" s="0" t="inlineStr">
        <is>
          <t>Pá</t>
        </is>
      </c>
      <c r="H31" s="0">
        <f>IF(AND(E31&lt;&gt;"",G31&lt;&gt;""),(G31-E31)*24-F31,0)</f>
        <v/>
      </c>
      <c r="I31" s="0">
        <f>MAX(0,H31-8)</f>
        <v/>
      </c>
      <c r="N31" s="0">
        <f>H31*M31</f>
        <v/>
      </c>
    </row>
    <row r="32" ht="15.75" customHeight="1" s="159">
      <c r="A32" s="155" t="n">
        <v>30</v>
      </c>
      <c r="B32" s="155" t="inlineStr">
        <is>
          <t>30.08.2025</t>
        </is>
      </c>
      <c r="C32" s="155" t="inlineStr">
        <is>
          <t>So</t>
        </is>
      </c>
      <c r="D32" s="155" t="n"/>
      <c r="E32" s="155" t="n"/>
      <c r="F32" s="155" t="n"/>
      <c r="G32" s="155" t="n"/>
      <c r="H32" s="155">
        <f>IF(AND(E32&lt;&gt;"",G32&lt;&gt;""),(G32-E32)*24-F32,0)</f>
        <v/>
      </c>
      <c r="I32" s="155">
        <f>MAX(0,H32-8)</f>
        <v/>
      </c>
      <c r="J32" s="155" t="n"/>
      <c r="K32" s="155" t="n"/>
      <c r="L32" s="155" t="n"/>
      <c r="M32" s="155" t="n"/>
      <c r="N32" s="155">
        <f>H32*M32</f>
        <v/>
      </c>
    </row>
    <row r="33" ht="15.75" customHeight="1" s="159">
      <c r="A33" s="155" t="n">
        <v>31</v>
      </c>
      <c r="B33" s="155" t="inlineStr">
        <is>
          <t>31.08.2025</t>
        </is>
      </c>
      <c r="C33" s="155" t="inlineStr">
        <is>
          <t>Ne</t>
        </is>
      </c>
      <c r="D33" s="155" t="n"/>
      <c r="E33" s="155" t="n"/>
      <c r="F33" s="155" t="n"/>
      <c r="G33" s="155" t="n"/>
      <c r="H33" s="155">
        <f>IF(AND(E33&lt;&gt;"",G33&lt;&gt;""),(G33-E33)*24-F33,0)</f>
        <v/>
      </c>
      <c r="I33" s="155">
        <f>MAX(0,H33-8)</f>
        <v/>
      </c>
      <c r="J33" s="155" t="n"/>
      <c r="K33" s="155" t="n"/>
      <c r="L33" s="155" t="n"/>
      <c r="M33" s="155" t="n"/>
      <c r="N33" s="155">
        <f>H33*M33</f>
        <v/>
      </c>
    </row>
    <row r="34" ht="15.75" customHeight="1" s="159">
      <c r="A34" s="0" t="inlineStr">
        <is>
          <t>SOUHRN:</t>
        </is>
      </c>
      <c r="H34" s="2">
        <f>SUM(H3:H33)</f>
        <v/>
      </c>
      <c r="I34" s="2">
        <f>SUM(I3:I33)</f>
        <v/>
      </c>
      <c r="N34" s="2">
        <f>SUM(N3:N33)</f>
        <v/>
      </c>
    </row>
    <row r="35" ht="15.75" customHeight="1" s="159"/>
    <row r="36" ht="15.75" customHeight="1" s="159"/>
    <row r="37" ht="15.75" customHeight="1" s="159"/>
    <row r="38" ht="15.75" customHeight="1" s="159"/>
    <row r="39" ht="15.75" customHeight="1" s="159"/>
    <row r="40" ht="15.75" customHeight="1" s="159"/>
    <row r="41" ht="15.75" customHeight="1" s="159"/>
    <row r="42" ht="15.75" customHeight="1" s="159"/>
    <row r="43" ht="15.75" customHeight="1" s="159"/>
    <row r="44" ht="15.75" customHeight="1" s="159"/>
    <row r="45" ht="15.75" customHeight="1" s="159"/>
    <row r="46" ht="15.75" customHeight="1" s="159"/>
    <row r="47" ht="15.75" customHeight="1" s="159"/>
    <row r="48" ht="15.75" customHeight="1" s="159"/>
    <row r="49" ht="15.75" customHeight="1" s="159"/>
    <row r="50" ht="15.75" customHeight="1" s="159"/>
    <row r="51" ht="15.75" customHeight="1" s="159"/>
    <row r="52" ht="15.75" customHeight="1" s="159"/>
    <row r="53" ht="15.75" customHeight="1" s="159"/>
    <row r="54" ht="15.75" customHeight="1" s="159"/>
    <row r="55" ht="15.75" customHeight="1" s="159"/>
    <row r="56" ht="15.75" customHeight="1" s="159"/>
    <row r="57" ht="15.75" customHeight="1" s="159"/>
    <row r="58" ht="15.75" customHeight="1" s="159"/>
    <row r="59" ht="15.75" customHeight="1" s="159"/>
    <row r="60" ht="15.75" customHeight="1" s="159"/>
    <row r="61" ht="15.75" customHeight="1" s="159"/>
    <row r="62" ht="15.75" customHeight="1" s="159"/>
    <row r="63" ht="15.75" customHeight="1" s="159"/>
    <row r="64" ht="15.75" customHeight="1" s="159"/>
    <row r="65" ht="15.75" customHeight="1" s="159"/>
    <row r="66" ht="15.75" customHeight="1" s="159"/>
    <row r="67" ht="15.75" customHeight="1" s="159"/>
    <row r="68" ht="15.75" customHeight="1" s="159"/>
    <row r="69" ht="15.75" customHeight="1" s="159"/>
    <row r="70" ht="15.75" customHeight="1" s="159"/>
    <row r="71" ht="15.75" customHeight="1" s="159"/>
    <row r="72" ht="15.75" customHeight="1" s="159"/>
    <row r="73" ht="15.75" customHeight="1" s="159"/>
    <row r="74" ht="15.75" customHeight="1" s="159"/>
    <row r="75" ht="15.75" customHeight="1" s="159"/>
    <row r="76" ht="15.75" customHeight="1" s="159"/>
    <row r="77" ht="15.75" customHeight="1" s="159"/>
    <row r="78" ht="15.75" customHeight="1" s="159"/>
    <row r="79" ht="15.75" customHeight="1" s="159"/>
    <row r="80" ht="15.75" customHeight="1" s="159"/>
    <row r="81" ht="15.75" customHeight="1" s="159"/>
    <row r="82" ht="15.75" customHeight="1" s="159"/>
    <row r="83" ht="15.75" customHeight="1" s="159"/>
    <row r="84" ht="15.75" customHeight="1" s="159"/>
    <row r="85" ht="15.75" customHeight="1" s="159"/>
    <row r="86" ht="15.75" customHeight="1" s="159"/>
    <row r="87" ht="15.75" customHeight="1" s="159"/>
    <row r="88" ht="15.75" customHeight="1" s="159"/>
    <row r="89" ht="15.75" customHeight="1" s="159"/>
    <row r="90" ht="15.75" customHeight="1" s="159"/>
    <row r="91" ht="15.75" customHeight="1" s="159"/>
    <row r="92" ht="15.75" customHeight="1" s="159"/>
    <row r="93" ht="15.75" customHeight="1" s="159"/>
    <row r="94" ht="15.75" customHeight="1" s="159"/>
    <row r="95" ht="15.75" customHeight="1" s="159"/>
    <row r="96" ht="15.75" customHeight="1" s="159"/>
    <row r="97" ht="15.75" customHeight="1" s="159"/>
    <row r="98" ht="15.75" customHeight="1" s="159"/>
    <row r="99" ht="15.75" customHeight="1" s="159"/>
    <row r="100" ht="15.75" customHeight="1" s="159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59" min="1" max="14"/>
  </cols>
  <sheetData>
    <row r="1">
      <c r="A1" s="0" t="inlineStr">
        <is>
          <t>Měsíční výkaz práce - Srpen 2026</t>
        </is>
      </c>
    </row>
    <row r="2">
      <c r="A2" s="1" t="inlineStr">
        <is>
          <t>Den</t>
        </is>
      </c>
      <c r="B2" s="1" t="inlineStr">
        <is>
          <t>Datum</t>
        </is>
      </c>
      <c r="C2" s="1" t="inlineStr">
        <is>
          <t>Den v týdnu</t>
        </is>
      </c>
      <c r="D2" s="1" t="inlineStr">
        <is>
          <t>Svátek</t>
        </is>
      </c>
      <c r="E2" s="1" t="inlineStr">
        <is>
          <t>Začátek</t>
        </is>
      </c>
      <c r="F2" s="1" t="inlineStr">
        <is>
          <t>Oběd (h)</t>
        </is>
      </c>
      <c r="G2" s="1" t="inlineStr">
        <is>
          <t>Konec</t>
        </is>
      </c>
      <c r="H2" s="1" t="inlineStr">
        <is>
          <t>Celkem hodin</t>
        </is>
      </c>
      <c r="I2" s="1" t="inlineStr">
        <is>
          <t>Přesčasy</t>
        </is>
      </c>
      <c r="J2" s="1" t="inlineStr">
        <is>
          <t>Noční práce</t>
        </is>
      </c>
      <c r="K2" s="1" t="inlineStr">
        <is>
          <t>Víkend</t>
        </is>
      </c>
      <c r="L2" s="1" t="inlineStr">
        <is>
          <t>Svátky</t>
        </is>
      </c>
      <c r="M2" s="1" t="inlineStr">
        <is>
          <t>Zaměstnanci</t>
        </is>
      </c>
      <c r="N2" s="1" t="inlineStr">
        <is>
          <t>Celkem odpracováno</t>
        </is>
      </c>
    </row>
    <row r="3">
      <c r="A3" s="155" t="n">
        <v>1</v>
      </c>
      <c r="B3" s="155" t="inlineStr">
        <is>
          <t>01.08.2026</t>
        </is>
      </c>
      <c r="C3" s="155" t="inlineStr">
        <is>
          <t>So</t>
        </is>
      </c>
      <c r="D3" s="155" t="n"/>
      <c r="E3" s="155" t="n"/>
      <c r="F3" s="155" t="n"/>
      <c r="G3" s="155" t="n"/>
      <c r="H3" s="155">
        <f>IF(AND(E3&lt;&gt;"",G3&lt;&gt;""),(G3-E3)*24-F3,0)</f>
        <v/>
      </c>
      <c r="I3" s="155">
        <f>MAX(0,H3-8)</f>
        <v/>
      </c>
      <c r="J3" s="155" t="n"/>
      <c r="K3" s="155" t="n"/>
      <c r="L3" s="155" t="n"/>
      <c r="M3" s="155" t="n"/>
      <c r="N3" s="155">
        <f>H3*M3</f>
        <v/>
      </c>
    </row>
    <row r="4">
      <c r="A4" s="155" t="n">
        <v>2</v>
      </c>
      <c r="B4" s="155" t="inlineStr">
        <is>
          <t>02.08.2026</t>
        </is>
      </c>
      <c r="C4" s="155" t="inlineStr">
        <is>
          <t>Ne</t>
        </is>
      </c>
      <c r="D4" s="155" t="n"/>
      <c r="E4" s="155" t="n"/>
      <c r="F4" s="155" t="n"/>
      <c r="G4" s="155" t="n"/>
      <c r="H4" s="155">
        <f>IF(AND(E4&lt;&gt;"",G4&lt;&gt;""),(G4-E4)*24-F4,0)</f>
        <v/>
      </c>
      <c r="I4" s="155">
        <f>MAX(0,H4-8)</f>
        <v/>
      </c>
      <c r="J4" s="155" t="n"/>
      <c r="K4" s="155" t="n"/>
      <c r="L4" s="155" t="n"/>
      <c r="M4" s="155" t="n"/>
      <c r="N4" s="155">
        <f>H4*M4</f>
        <v/>
      </c>
    </row>
    <row r="5">
      <c r="A5" s="0" t="n">
        <v>3</v>
      </c>
      <c r="B5" s="0" t="inlineStr">
        <is>
          <t>03.08.2026</t>
        </is>
      </c>
      <c r="C5" s="0" t="inlineStr">
        <is>
          <t>Po</t>
        </is>
      </c>
      <c r="H5" s="0">
        <f>IF(AND(E5&lt;&gt;"",G5&lt;&gt;""),(G5-E5)*24-F5,0)</f>
        <v/>
      </c>
      <c r="I5" s="0">
        <f>MAX(0,H5-8)</f>
        <v/>
      </c>
      <c r="N5" s="0">
        <f>H5*M5</f>
        <v/>
      </c>
    </row>
    <row r="6">
      <c r="A6" s="0" t="n">
        <v>4</v>
      </c>
      <c r="B6" s="0" t="inlineStr">
        <is>
          <t>04.08.2026</t>
        </is>
      </c>
      <c r="C6" s="0" t="inlineStr">
        <is>
          <t>Út</t>
        </is>
      </c>
      <c r="H6" s="0">
        <f>IF(AND(E6&lt;&gt;"",G6&lt;&gt;""),(G6-E6)*24-F6,0)</f>
        <v/>
      </c>
      <c r="I6" s="0">
        <f>MAX(0,H6-8)</f>
        <v/>
      </c>
      <c r="N6" s="0">
        <f>H6*M6</f>
        <v/>
      </c>
    </row>
    <row r="7">
      <c r="A7" s="0" t="n">
        <v>5</v>
      </c>
      <c r="B7" s="0" t="inlineStr">
        <is>
          <t>05.08.2026</t>
        </is>
      </c>
      <c r="C7" s="0" t="inlineStr">
        <is>
          <t>St</t>
        </is>
      </c>
      <c r="H7" s="0">
        <f>IF(AND(E7&lt;&gt;"",G7&lt;&gt;""),(G7-E7)*24-F7,0)</f>
        <v/>
      </c>
      <c r="I7" s="0">
        <f>MAX(0,H7-8)</f>
        <v/>
      </c>
      <c r="N7" s="0">
        <f>H7*M7</f>
        <v/>
      </c>
    </row>
    <row r="8">
      <c r="A8" s="0" t="n">
        <v>6</v>
      </c>
      <c r="B8" s="0" t="inlineStr">
        <is>
          <t>06.08.2026</t>
        </is>
      </c>
      <c r="C8" s="0" t="inlineStr">
        <is>
          <t>Čt</t>
        </is>
      </c>
      <c r="H8" s="0">
        <f>IF(AND(E8&lt;&gt;"",G8&lt;&gt;""),(G8-E8)*24-F8,0)</f>
        <v/>
      </c>
      <c r="I8" s="0">
        <f>MAX(0,H8-8)</f>
        <v/>
      </c>
      <c r="N8" s="0">
        <f>H8*M8</f>
        <v/>
      </c>
    </row>
    <row r="9">
      <c r="A9" s="0" t="n">
        <v>7</v>
      </c>
      <c r="B9" s="0" t="inlineStr">
        <is>
          <t>07.08.2026</t>
        </is>
      </c>
      <c r="C9" s="0" t="inlineStr">
        <is>
          <t>Pá</t>
        </is>
      </c>
      <c r="H9" s="0">
        <f>IF(AND(E9&lt;&gt;"",G9&lt;&gt;""),(G9-E9)*24-F9,0)</f>
        <v/>
      </c>
      <c r="I9" s="0">
        <f>MAX(0,H9-8)</f>
        <v/>
      </c>
      <c r="N9" s="0">
        <f>H9*M9</f>
        <v/>
      </c>
    </row>
    <row r="10">
      <c r="A10" s="155" t="n">
        <v>8</v>
      </c>
      <c r="B10" s="155" t="inlineStr">
        <is>
          <t>08.08.2026</t>
        </is>
      </c>
      <c r="C10" s="155" t="inlineStr">
        <is>
          <t>So</t>
        </is>
      </c>
      <c r="D10" s="155" t="n"/>
      <c r="E10" s="155" t="n"/>
      <c r="F10" s="155" t="n"/>
      <c r="G10" s="155" t="n"/>
      <c r="H10" s="155">
        <f>IF(AND(E10&lt;&gt;"",G10&lt;&gt;""),(G10-E10)*24-F10,0)</f>
        <v/>
      </c>
      <c r="I10" s="155">
        <f>MAX(0,H10-8)</f>
        <v/>
      </c>
      <c r="J10" s="155" t="n"/>
      <c r="K10" s="155" t="n"/>
      <c r="L10" s="155" t="n"/>
      <c r="M10" s="155" t="n"/>
      <c r="N10" s="155">
        <f>H10*M10</f>
        <v/>
      </c>
    </row>
    <row r="11">
      <c r="A11" s="155" t="n">
        <v>9</v>
      </c>
      <c r="B11" s="155" t="inlineStr">
        <is>
          <t>09.08.2026</t>
        </is>
      </c>
      <c r="C11" s="155" t="inlineStr">
        <is>
          <t>Ne</t>
        </is>
      </c>
      <c r="D11" s="155" t="n"/>
      <c r="E11" s="155" t="n"/>
      <c r="F11" s="155" t="n"/>
      <c r="G11" s="155" t="n"/>
      <c r="H11" s="155">
        <f>IF(AND(E11&lt;&gt;"",G11&lt;&gt;""),(G11-E11)*24-F11,0)</f>
        <v/>
      </c>
      <c r="I11" s="155">
        <f>MAX(0,H11-8)</f>
        <v/>
      </c>
      <c r="J11" s="155" t="n"/>
      <c r="K11" s="155" t="n"/>
      <c r="L11" s="155" t="n"/>
      <c r="M11" s="155" t="n"/>
      <c r="N11" s="155">
        <f>H11*M11</f>
        <v/>
      </c>
    </row>
    <row r="12">
      <c r="A12" s="0" t="n">
        <v>10</v>
      </c>
      <c r="B12" s="0" t="inlineStr">
        <is>
          <t>10.08.2026</t>
        </is>
      </c>
      <c r="C12" s="0" t="inlineStr">
        <is>
          <t>Po</t>
        </is>
      </c>
      <c r="H12" s="0">
        <f>IF(AND(E12&lt;&gt;"",G12&lt;&gt;""),(G12-E12)*24-F12,0)</f>
        <v/>
      </c>
      <c r="I12" s="0">
        <f>MAX(0,H12-8)</f>
        <v/>
      </c>
      <c r="N12" s="0">
        <f>H12*M12</f>
        <v/>
      </c>
    </row>
    <row r="13">
      <c r="A13" s="0" t="n">
        <v>11</v>
      </c>
      <c r="B13" s="0" t="inlineStr">
        <is>
          <t>11.08.2026</t>
        </is>
      </c>
      <c r="C13" s="0" t="inlineStr">
        <is>
          <t>Út</t>
        </is>
      </c>
      <c r="H13" s="0">
        <f>IF(AND(E13&lt;&gt;"",G13&lt;&gt;""),(G13-E13)*24-F13,0)</f>
        <v/>
      </c>
      <c r="I13" s="0">
        <f>MAX(0,H13-8)</f>
        <v/>
      </c>
      <c r="N13" s="0">
        <f>H13*M13</f>
        <v/>
      </c>
    </row>
    <row r="14">
      <c r="A14" s="0" t="n">
        <v>12</v>
      </c>
      <c r="B14" s="0" t="inlineStr">
        <is>
          <t>12.08.2026</t>
        </is>
      </c>
      <c r="C14" s="0" t="inlineStr">
        <is>
          <t>St</t>
        </is>
      </c>
      <c r="H14" s="0">
        <f>IF(AND(E14&lt;&gt;"",G14&lt;&gt;""),(G14-E14)*24-F14,0)</f>
        <v/>
      </c>
      <c r="I14" s="0">
        <f>MAX(0,H14-8)</f>
        <v/>
      </c>
      <c r="N14" s="0">
        <f>H14*M14</f>
        <v/>
      </c>
    </row>
    <row r="15">
      <c r="A15" s="0" t="n">
        <v>13</v>
      </c>
      <c r="B15" s="0" t="inlineStr">
        <is>
          <t>13.08.2026</t>
        </is>
      </c>
      <c r="C15" s="0" t="inlineStr">
        <is>
          <t>Čt</t>
        </is>
      </c>
      <c r="H15" s="0">
        <f>IF(AND(E15&lt;&gt;"",G15&lt;&gt;""),(G15-E15)*24-F15,0)</f>
        <v/>
      </c>
      <c r="I15" s="0">
        <f>MAX(0,H15-8)</f>
        <v/>
      </c>
      <c r="N15" s="0">
        <f>H15*M15</f>
        <v/>
      </c>
    </row>
    <row r="16">
      <c r="A16" s="0" t="n">
        <v>14</v>
      </c>
      <c r="B16" s="0" t="inlineStr">
        <is>
          <t>14.08.2026</t>
        </is>
      </c>
      <c r="C16" s="0" t="inlineStr">
        <is>
          <t>Pá</t>
        </is>
      </c>
      <c r="H16" s="0">
        <f>IF(AND(E16&lt;&gt;"",G16&lt;&gt;""),(G16-E16)*24-F16,0)</f>
        <v/>
      </c>
      <c r="I16" s="0">
        <f>MAX(0,H16-8)</f>
        <v/>
      </c>
      <c r="N16" s="0">
        <f>H16*M16</f>
        <v/>
      </c>
    </row>
    <row r="17">
      <c r="A17" s="155" t="n">
        <v>15</v>
      </c>
      <c r="B17" s="155" t="inlineStr">
        <is>
          <t>15.08.2026</t>
        </is>
      </c>
      <c r="C17" s="155" t="inlineStr">
        <is>
          <t>So</t>
        </is>
      </c>
      <c r="D17" s="155" t="n"/>
      <c r="E17" s="155" t="n"/>
      <c r="F17" s="155" t="n"/>
      <c r="G17" s="155" t="n"/>
      <c r="H17" s="155">
        <f>IF(AND(E17&lt;&gt;"",G17&lt;&gt;""),(G17-E17)*24-F17,0)</f>
        <v/>
      </c>
      <c r="I17" s="155">
        <f>MAX(0,H17-8)</f>
        <v/>
      </c>
      <c r="J17" s="155" t="n"/>
      <c r="K17" s="155" t="n"/>
      <c r="L17" s="155" t="n"/>
      <c r="M17" s="155" t="n"/>
      <c r="N17" s="155">
        <f>H17*M17</f>
        <v/>
      </c>
    </row>
    <row r="18">
      <c r="A18" s="155" t="n">
        <v>16</v>
      </c>
      <c r="B18" s="155" t="inlineStr">
        <is>
          <t>16.08.2026</t>
        </is>
      </c>
      <c r="C18" s="155" t="inlineStr">
        <is>
          <t>Ne</t>
        </is>
      </c>
      <c r="D18" s="155" t="n"/>
      <c r="E18" s="155" t="n"/>
      <c r="F18" s="155" t="n"/>
      <c r="G18" s="155" t="n"/>
      <c r="H18" s="155">
        <f>IF(AND(E18&lt;&gt;"",G18&lt;&gt;""),(G18-E18)*24-F18,0)</f>
        <v/>
      </c>
      <c r="I18" s="155">
        <f>MAX(0,H18-8)</f>
        <v/>
      </c>
      <c r="J18" s="155" t="n"/>
      <c r="K18" s="155" t="n"/>
      <c r="L18" s="155" t="n"/>
      <c r="M18" s="155" t="n"/>
      <c r="N18" s="155">
        <f>H18*M18</f>
        <v/>
      </c>
    </row>
    <row r="19">
      <c r="A19" s="0" t="n">
        <v>17</v>
      </c>
      <c r="B19" s="0" t="inlineStr">
        <is>
          <t>17.08.2026</t>
        </is>
      </c>
      <c r="C19" s="0" t="inlineStr">
        <is>
          <t>Po</t>
        </is>
      </c>
      <c r="H19" s="0">
        <f>IF(AND(E19&lt;&gt;"",G19&lt;&gt;""),(G19-E19)*24-F19,0)</f>
        <v/>
      </c>
      <c r="I19" s="0">
        <f>MAX(0,H19-8)</f>
        <v/>
      </c>
      <c r="N19" s="0">
        <f>H19*M19</f>
        <v/>
      </c>
    </row>
    <row r="20">
      <c r="A20" s="0" t="n">
        <v>18</v>
      </c>
      <c r="B20" s="0" t="inlineStr">
        <is>
          <t>18.08.2026</t>
        </is>
      </c>
      <c r="C20" s="0" t="inlineStr">
        <is>
          <t>Út</t>
        </is>
      </c>
      <c r="H20" s="0">
        <f>IF(AND(E20&lt;&gt;"",G20&lt;&gt;""),(G20-E20)*24-F20,0)</f>
        <v/>
      </c>
      <c r="I20" s="0">
        <f>MAX(0,H20-8)</f>
        <v/>
      </c>
      <c r="N20" s="0">
        <f>H20*M20</f>
        <v/>
      </c>
    </row>
    <row r="21" ht="15.75" customHeight="1" s="159">
      <c r="A21" s="0" t="n">
        <v>19</v>
      </c>
      <c r="B21" s="0" t="inlineStr">
        <is>
          <t>19.08.2026</t>
        </is>
      </c>
      <c r="C21" s="0" t="inlineStr">
        <is>
          <t>St</t>
        </is>
      </c>
      <c r="H21" s="0">
        <f>IF(AND(E21&lt;&gt;"",G21&lt;&gt;""),(G21-E21)*24-F21,0)</f>
        <v/>
      </c>
      <c r="I21" s="0">
        <f>MAX(0,H21-8)</f>
        <v/>
      </c>
      <c r="N21" s="0">
        <f>H21*M21</f>
        <v/>
      </c>
    </row>
    <row r="22" ht="15.75" customHeight="1" s="159">
      <c r="A22" s="0" t="n">
        <v>20</v>
      </c>
      <c r="B22" s="0" t="inlineStr">
        <is>
          <t>20.08.2026</t>
        </is>
      </c>
      <c r="C22" s="0" t="inlineStr">
        <is>
          <t>Čt</t>
        </is>
      </c>
      <c r="H22" s="0">
        <f>IF(AND(E22&lt;&gt;"",G22&lt;&gt;""),(G22-E22)*24-F22,0)</f>
        <v/>
      </c>
      <c r="I22" s="0">
        <f>MAX(0,H22-8)</f>
        <v/>
      </c>
      <c r="N22" s="0">
        <f>H22*M22</f>
        <v/>
      </c>
    </row>
    <row r="23" ht="15.75" customHeight="1" s="159">
      <c r="A23" s="0" t="n">
        <v>21</v>
      </c>
      <c r="B23" s="0" t="inlineStr">
        <is>
          <t>21.08.2026</t>
        </is>
      </c>
      <c r="C23" s="0" t="inlineStr">
        <is>
          <t>Pá</t>
        </is>
      </c>
      <c r="H23" s="0">
        <f>IF(AND(E23&lt;&gt;"",G23&lt;&gt;""),(G23-E23)*24-F23,0)</f>
        <v/>
      </c>
      <c r="I23" s="0">
        <f>MAX(0,H23-8)</f>
        <v/>
      </c>
      <c r="N23" s="0">
        <f>H23*M23</f>
        <v/>
      </c>
    </row>
    <row r="24" ht="15.75" customHeight="1" s="159">
      <c r="A24" s="155" t="n">
        <v>22</v>
      </c>
      <c r="B24" s="155" t="inlineStr">
        <is>
          <t>22.08.2026</t>
        </is>
      </c>
      <c r="C24" s="155" t="inlineStr">
        <is>
          <t>So</t>
        </is>
      </c>
      <c r="D24" s="155" t="n"/>
      <c r="E24" s="155" t="n"/>
      <c r="F24" s="155" t="n"/>
      <c r="G24" s="155" t="n"/>
      <c r="H24" s="155">
        <f>IF(AND(E24&lt;&gt;"",G24&lt;&gt;""),(G24-E24)*24-F24,0)</f>
        <v/>
      </c>
      <c r="I24" s="155">
        <f>MAX(0,H24-8)</f>
        <v/>
      </c>
      <c r="J24" s="155" t="n"/>
      <c r="K24" s="155" t="n"/>
      <c r="L24" s="155" t="n"/>
      <c r="M24" s="155" t="n"/>
      <c r="N24" s="155">
        <f>H24*M24</f>
        <v/>
      </c>
    </row>
    <row r="25" ht="15.75" customHeight="1" s="159">
      <c r="A25" s="155" t="n">
        <v>23</v>
      </c>
      <c r="B25" s="155" t="inlineStr">
        <is>
          <t>23.08.2026</t>
        </is>
      </c>
      <c r="C25" s="155" t="inlineStr">
        <is>
          <t>Ne</t>
        </is>
      </c>
      <c r="D25" s="155" t="n"/>
      <c r="E25" s="155" t="n"/>
      <c r="F25" s="155" t="n"/>
      <c r="G25" s="155" t="n"/>
      <c r="H25" s="155">
        <f>IF(AND(E25&lt;&gt;"",G25&lt;&gt;""),(G25-E25)*24-F25,0)</f>
        <v/>
      </c>
      <c r="I25" s="155">
        <f>MAX(0,H25-8)</f>
        <v/>
      </c>
      <c r="J25" s="155" t="n"/>
      <c r="K25" s="155" t="n"/>
      <c r="L25" s="155" t="n"/>
      <c r="M25" s="155" t="n"/>
      <c r="N25" s="155">
        <f>H25*M25</f>
        <v/>
      </c>
    </row>
    <row r="26" ht="15.75" customHeight="1" s="159">
      <c r="A26" s="0" t="n">
        <v>24</v>
      </c>
      <c r="B26" s="0" t="inlineStr">
        <is>
          <t>24.08.2026</t>
        </is>
      </c>
      <c r="C26" s="0" t="inlineStr">
        <is>
          <t>Po</t>
        </is>
      </c>
      <c r="H26" s="0">
        <f>IF(AND(E26&lt;&gt;"",G26&lt;&gt;""),(G26-E26)*24-F26,0)</f>
        <v/>
      </c>
      <c r="I26" s="0">
        <f>MAX(0,H26-8)</f>
        <v/>
      </c>
      <c r="N26" s="0">
        <f>H26*M26</f>
        <v/>
      </c>
    </row>
    <row r="27" ht="15.75" customHeight="1" s="159">
      <c r="A27" s="0" t="n">
        <v>25</v>
      </c>
      <c r="B27" s="0" t="inlineStr">
        <is>
          <t>25.08.2026</t>
        </is>
      </c>
      <c r="C27" s="0" t="inlineStr">
        <is>
          <t>Út</t>
        </is>
      </c>
      <c r="H27" s="0">
        <f>IF(AND(E27&lt;&gt;"",G27&lt;&gt;""),(G27-E27)*24-F27,0)</f>
        <v/>
      </c>
      <c r="I27" s="0">
        <f>MAX(0,H27-8)</f>
        <v/>
      </c>
      <c r="N27" s="0">
        <f>H27*M27</f>
        <v/>
      </c>
    </row>
    <row r="28" ht="15.75" customHeight="1" s="159">
      <c r="A28" s="0" t="n">
        <v>26</v>
      </c>
      <c r="B28" s="0" t="inlineStr">
        <is>
          <t>26.08.2026</t>
        </is>
      </c>
      <c r="C28" s="0" t="inlineStr">
        <is>
          <t>St</t>
        </is>
      </c>
      <c r="H28" s="0">
        <f>IF(AND(E28&lt;&gt;"",G28&lt;&gt;""),(G28-E28)*24-F28,0)</f>
        <v/>
      </c>
      <c r="I28" s="0">
        <f>MAX(0,H28-8)</f>
        <v/>
      </c>
      <c r="N28" s="0">
        <f>H28*M28</f>
        <v/>
      </c>
    </row>
    <row r="29" ht="15.75" customHeight="1" s="159">
      <c r="A29" s="0" t="n">
        <v>27</v>
      </c>
      <c r="B29" s="0" t="inlineStr">
        <is>
          <t>27.08.2026</t>
        </is>
      </c>
      <c r="C29" s="0" t="inlineStr">
        <is>
          <t>Čt</t>
        </is>
      </c>
      <c r="H29" s="0">
        <f>IF(AND(E29&lt;&gt;"",G29&lt;&gt;""),(G29-E29)*24-F29,0)</f>
        <v/>
      </c>
      <c r="I29" s="0">
        <f>MAX(0,H29-8)</f>
        <v/>
      </c>
      <c r="N29" s="0">
        <f>H29*M29</f>
        <v/>
      </c>
    </row>
    <row r="30" ht="15.75" customHeight="1" s="159">
      <c r="A30" s="0" t="n">
        <v>28</v>
      </c>
      <c r="B30" s="0" t="inlineStr">
        <is>
          <t>28.08.2026</t>
        </is>
      </c>
      <c r="C30" s="0" t="inlineStr">
        <is>
          <t>Pá</t>
        </is>
      </c>
      <c r="H30" s="0">
        <f>IF(AND(E30&lt;&gt;"",G30&lt;&gt;""),(G30-E30)*24-F30,0)</f>
        <v/>
      </c>
      <c r="I30" s="0">
        <f>MAX(0,H30-8)</f>
        <v/>
      </c>
      <c r="N30" s="0">
        <f>H30*M30</f>
        <v/>
      </c>
    </row>
    <row r="31" ht="15.75" customHeight="1" s="159">
      <c r="A31" s="155" t="n">
        <v>29</v>
      </c>
      <c r="B31" s="155" t="inlineStr">
        <is>
          <t>29.08.2026</t>
        </is>
      </c>
      <c r="C31" s="155" t="inlineStr">
        <is>
          <t>So</t>
        </is>
      </c>
      <c r="D31" s="155" t="n"/>
      <c r="E31" s="155" t="n"/>
      <c r="F31" s="155" t="n"/>
      <c r="G31" s="155" t="n"/>
      <c r="H31" s="155">
        <f>IF(AND(E31&lt;&gt;"",G31&lt;&gt;""),(G31-E31)*24-F31,0)</f>
        <v/>
      </c>
      <c r="I31" s="155">
        <f>MAX(0,H31-8)</f>
        <v/>
      </c>
      <c r="J31" s="155" t="n"/>
      <c r="K31" s="155" t="n"/>
      <c r="L31" s="155" t="n"/>
      <c r="M31" s="155" t="n"/>
      <c r="N31" s="155">
        <f>H31*M31</f>
        <v/>
      </c>
    </row>
    <row r="32" ht="15.75" customHeight="1" s="159">
      <c r="A32" s="155" t="n">
        <v>30</v>
      </c>
      <c r="B32" s="155" t="inlineStr">
        <is>
          <t>30.08.2026</t>
        </is>
      </c>
      <c r="C32" s="155" t="inlineStr">
        <is>
          <t>Ne</t>
        </is>
      </c>
      <c r="D32" s="155" t="n"/>
      <c r="E32" s="155" t="n"/>
      <c r="F32" s="155" t="n"/>
      <c r="G32" s="155" t="n"/>
      <c r="H32" s="155">
        <f>IF(AND(E32&lt;&gt;"",G32&lt;&gt;""),(G32-E32)*24-F32,0)</f>
        <v/>
      </c>
      <c r="I32" s="155">
        <f>MAX(0,H32-8)</f>
        <v/>
      </c>
      <c r="J32" s="155" t="n"/>
      <c r="K32" s="155" t="n"/>
      <c r="L32" s="155" t="n"/>
      <c r="M32" s="155" t="n"/>
      <c r="N32" s="155">
        <f>H32*M32</f>
        <v/>
      </c>
    </row>
    <row r="33" ht="15.75" customHeight="1" s="159">
      <c r="A33" s="0" t="n">
        <v>31</v>
      </c>
      <c r="B33" s="0" t="inlineStr">
        <is>
          <t>31.08.2026</t>
        </is>
      </c>
      <c r="C33" s="0" t="inlineStr">
        <is>
          <t>Po</t>
        </is>
      </c>
      <c r="E33" s="156" t="n">
        <v>0.2916666666666667</v>
      </c>
      <c r="F33" s="157" t="n">
        <v>1</v>
      </c>
      <c r="G33" s="156" t="n">
        <v>0.75</v>
      </c>
      <c r="H33" s="158">
        <f>IF(AND(E33&lt;&gt;"",G33&lt;&gt;""),(G33-E33)*24-F33,0)</f>
        <v/>
      </c>
      <c r="I33" s="0">
        <f>MAX(0,H33-8)</f>
        <v/>
      </c>
      <c r="M33" s="0" t="n">
        <v>2</v>
      </c>
      <c r="N33" s="158">
        <f>H33*M33</f>
        <v/>
      </c>
    </row>
    <row r="34" ht="15.75" customHeight="1" s="159">
      <c r="A34" s="0" t="inlineStr">
        <is>
          <t>SOUHRN:</t>
        </is>
      </c>
      <c r="H34" s="2">
        <f>SUM(H3:H33)</f>
        <v/>
      </c>
      <c r="I34" s="2">
        <f>SUM(I3:I33)</f>
        <v/>
      </c>
      <c r="N34" s="2">
        <f>SUM(N3:N33)</f>
        <v/>
      </c>
    </row>
    <row r="35" ht="15.75" customHeight="1" s="159"/>
    <row r="36" ht="15.75" customHeight="1" s="159"/>
    <row r="37" ht="15.75" customHeight="1" s="159"/>
    <row r="38" ht="15.75" customHeight="1" s="159"/>
    <row r="39" ht="15.75" customHeight="1" s="159"/>
    <row r="40" ht="15.75" customHeight="1" s="159"/>
    <row r="41" ht="15.75" customHeight="1" s="159"/>
    <row r="42" ht="15.75" customHeight="1" s="159"/>
    <row r="43" ht="15.75" customHeight="1" s="159"/>
    <row r="44" ht="15.75" customHeight="1" s="159"/>
    <row r="45" ht="15.75" customHeight="1" s="159"/>
    <row r="46" ht="15.75" customHeight="1" s="159"/>
    <row r="47" ht="15.75" customHeight="1" s="159"/>
    <row r="48" ht="15.75" customHeight="1" s="159"/>
    <row r="49" ht="15.75" customHeight="1" s="159"/>
    <row r="50" ht="15.75" customHeight="1" s="159"/>
    <row r="51" ht="15.75" customHeight="1" s="159"/>
    <row r="52" ht="15.75" customHeight="1" s="159"/>
    <row r="53" ht="15.75" customHeight="1" s="159"/>
    <row r="54" ht="15.75" customHeight="1" s="159"/>
    <row r="55" ht="15.75" customHeight="1" s="159"/>
    <row r="56" ht="15.75" customHeight="1" s="159"/>
    <row r="57" ht="15.75" customHeight="1" s="159"/>
    <row r="58" ht="15.75" customHeight="1" s="159"/>
    <row r="59" ht="15.75" customHeight="1" s="159"/>
    <row r="60" ht="15.75" customHeight="1" s="159"/>
    <row r="61" ht="15.75" customHeight="1" s="159"/>
    <row r="62" ht="15.75" customHeight="1" s="159"/>
    <row r="63" ht="15.75" customHeight="1" s="159"/>
    <row r="64" ht="15.75" customHeight="1" s="159"/>
    <row r="65" ht="15.75" customHeight="1" s="159"/>
    <row r="66" ht="15.75" customHeight="1" s="159"/>
    <row r="67" ht="15.75" customHeight="1" s="159"/>
    <row r="68" ht="15.75" customHeight="1" s="159"/>
    <row r="69" ht="15.75" customHeight="1" s="159"/>
    <row r="70" ht="15.75" customHeight="1" s="159"/>
    <row r="71" ht="15.75" customHeight="1" s="159"/>
    <row r="72" ht="15.75" customHeight="1" s="159"/>
    <row r="73" ht="15.75" customHeight="1" s="159"/>
    <row r="74" ht="15.75" customHeight="1" s="159"/>
    <row r="75" ht="15.75" customHeight="1" s="159"/>
    <row r="76" ht="15.75" customHeight="1" s="159"/>
    <row r="77" ht="15.75" customHeight="1" s="159"/>
    <row r="78" ht="15.75" customHeight="1" s="159"/>
    <row r="79" ht="15.75" customHeight="1" s="159"/>
    <row r="80" ht="15.75" customHeight="1" s="159"/>
    <row r="81" ht="15.75" customHeight="1" s="159"/>
    <row r="82" ht="15.75" customHeight="1" s="159"/>
    <row r="83" ht="15.75" customHeight="1" s="159"/>
    <row r="84" ht="15.75" customHeight="1" s="159"/>
    <row r="85" ht="15.75" customHeight="1" s="159"/>
    <row r="86" ht="15.75" customHeight="1" s="159"/>
    <row r="87" ht="15.75" customHeight="1" s="159"/>
    <row r="88" ht="15.75" customHeight="1" s="159"/>
    <row r="89" ht="15.75" customHeight="1" s="159"/>
    <row r="90" ht="15.75" customHeight="1" s="159"/>
    <row r="91" ht="15.75" customHeight="1" s="159"/>
    <row r="92" ht="15.75" customHeight="1" s="159"/>
    <row r="93" ht="15.75" customHeight="1" s="159"/>
    <row r="94" ht="15.75" customHeight="1" s="159"/>
    <row r="95" ht="15.75" customHeight="1" s="159"/>
    <row r="96" ht="15.75" customHeight="1" s="159"/>
    <row r="97" ht="15.75" customHeight="1" s="159"/>
    <row r="98" ht="15.75" customHeight="1" s="159"/>
    <row r="99" ht="15.75" customHeight="1" s="159"/>
    <row r="100" ht="15.75" customHeight="1" s="159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K7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" t="inlineStr">
        <is>
          <t xml:space="preserve"> CZE                 Nafta                 EURO</t>
        </is>
      </c>
      <c r="B1" s="160" t="n"/>
      <c r="C1" s="160" t="n"/>
      <c r="D1" s="160" t="n"/>
      <c r="E1" s="160" t="n"/>
      <c r="F1" s="160" t="n"/>
      <c r="G1" s="5" t="inlineStr">
        <is>
          <t>Peage</t>
        </is>
      </c>
      <c r="H1" s="160" t="n"/>
      <c r="I1" s="161" t="inlineStr">
        <is>
          <t>Ubytování</t>
        </is>
      </c>
      <c r="J1" s="160" t="n"/>
      <c r="K1" s="162" t="n"/>
      <c r="L1" s="161" t="inlineStr">
        <is>
          <t>Ostatní</t>
        </is>
      </c>
      <c r="M1" s="160" t="n"/>
      <c r="N1" s="162" t="n"/>
      <c r="O1" s="5" t="inlineStr">
        <is>
          <t>Čáp</t>
        </is>
      </c>
      <c r="P1" s="160" t="n"/>
      <c r="Q1" s="5" t="inlineStr">
        <is>
          <t>Zálohy  17.07.2024</t>
        </is>
      </c>
      <c r="R1" s="160" t="n"/>
      <c r="S1" s="160" t="n"/>
      <c r="T1" s="160" t="n"/>
      <c r="U1" s="160" t="n"/>
      <c r="V1" s="160" t="n"/>
      <c r="W1" s="160" t="n"/>
      <c r="X1" s="160" t="n"/>
      <c r="Y1" s="160" t="n"/>
      <c r="Z1" s="160" t="n"/>
      <c r="AA1" s="160" t="n"/>
      <c r="AB1" s="160" t="n"/>
      <c r="AC1" s="160" t="n"/>
      <c r="AD1" s="160" t="n"/>
      <c r="AE1" s="161" t="inlineStr">
        <is>
          <t>Bankomat</t>
        </is>
      </c>
      <c r="AF1" s="160" t="n"/>
      <c r="AG1" s="162" t="n"/>
      <c r="AH1" s="7" t="inlineStr">
        <is>
          <t>Hotovost u sebe</t>
        </is>
      </c>
      <c r="AI1" s="163" t="n"/>
      <c r="AJ1" s="164" t="inlineStr">
        <is>
          <t xml:space="preserve">Celkový výdaj </t>
        </is>
      </c>
      <c r="AK1" s="165" t="n"/>
    </row>
    <row r="2">
      <c r="A2" s="10" t="inlineStr">
        <is>
          <t>Kartou</t>
        </is>
      </c>
      <c r="B2" s="11" t="inlineStr">
        <is>
          <t>Datum</t>
        </is>
      </c>
      <c r="C2" s="12" t="inlineStr">
        <is>
          <t>Hotově</t>
        </is>
      </c>
      <c r="D2" s="11" t="inlineStr">
        <is>
          <t xml:space="preserve">Kartou </t>
        </is>
      </c>
      <c r="E2" s="11" t="inlineStr">
        <is>
          <t xml:space="preserve">Datum </t>
        </is>
      </c>
      <c r="F2" s="12" t="inlineStr">
        <is>
          <t xml:space="preserve">Hotově </t>
        </is>
      </c>
      <c r="G2" s="11" t="inlineStr">
        <is>
          <t xml:space="preserve">Hotově  </t>
        </is>
      </c>
      <c r="H2" s="12" t="inlineStr">
        <is>
          <t xml:space="preserve">Kartou  </t>
        </is>
      </c>
      <c r="I2" s="11" t="inlineStr">
        <is>
          <t xml:space="preserve">Hotově   </t>
        </is>
      </c>
      <c r="J2" s="11" t="inlineStr">
        <is>
          <t xml:space="preserve">Datum   </t>
        </is>
      </c>
      <c r="K2" s="12" t="inlineStr">
        <is>
          <t xml:space="preserve">Kartou   </t>
        </is>
      </c>
      <c r="L2" s="11" t="inlineStr">
        <is>
          <t>CZE</t>
        </is>
      </c>
      <c r="M2" s="11" t="inlineStr">
        <is>
          <t>POPIS</t>
        </is>
      </c>
      <c r="N2" s="12" t="inlineStr">
        <is>
          <t>EURO</t>
        </is>
      </c>
      <c r="O2" s="11" t="inlineStr">
        <is>
          <t xml:space="preserve">EURO </t>
        </is>
      </c>
      <c r="P2" s="12" t="inlineStr">
        <is>
          <t xml:space="preserve">CZE </t>
        </is>
      </c>
      <c r="Q2" s="11" t="inlineStr">
        <is>
          <t>Sloupec1</t>
        </is>
      </c>
      <c r="R2" s="12" t="inlineStr">
        <is>
          <t xml:space="preserve"> Datum</t>
        </is>
      </c>
      <c r="S2" s="13" t="inlineStr">
        <is>
          <t>Sloupec2</t>
        </is>
      </c>
      <c r="T2" s="12" t="inlineStr">
        <is>
          <t xml:space="preserve">  Datum</t>
        </is>
      </c>
      <c r="U2" s="11" t="inlineStr">
        <is>
          <t>Sloupec3</t>
        </is>
      </c>
      <c r="V2" s="12" t="inlineStr">
        <is>
          <t xml:space="preserve"> Datum </t>
        </is>
      </c>
      <c r="W2" s="11" t="inlineStr">
        <is>
          <t>Sloupec4</t>
        </is>
      </c>
      <c r="X2" s="12" t="inlineStr">
        <is>
          <t xml:space="preserve"> Datum  </t>
        </is>
      </c>
      <c r="Y2" s="11" t="inlineStr">
        <is>
          <t>Sloupec5</t>
        </is>
      </c>
      <c r="Z2" s="12" t="inlineStr">
        <is>
          <t xml:space="preserve">  Datum  </t>
        </is>
      </c>
      <c r="AA2" s="11" t="inlineStr">
        <is>
          <t>Sloupec6</t>
        </is>
      </c>
      <c r="AB2" s="12" t="inlineStr">
        <is>
          <t xml:space="preserve">  Datum </t>
        </is>
      </c>
      <c r="AC2" s="11" t="inlineStr">
        <is>
          <t>Sloupec7</t>
        </is>
      </c>
      <c r="AD2" s="12" t="inlineStr">
        <is>
          <t xml:space="preserve">  Datum   </t>
        </is>
      </c>
      <c r="AE2" s="11" t="inlineStr">
        <is>
          <t>CZE,</t>
        </is>
      </c>
      <c r="AF2" s="11" t="inlineStr">
        <is>
          <t xml:space="preserve">   DATUM </t>
        </is>
      </c>
      <c r="AG2" s="12" t="inlineStr">
        <is>
          <t>EURO,</t>
        </is>
      </c>
      <c r="AH2" s="14" t="inlineStr">
        <is>
          <t>CZE</t>
        </is>
      </c>
      <c r="AI2" s="15" t="inlineStr">
        <is>
          <t>EURO</t>
        </is>
      </c>
      <c r="AJ2" s="14" t="inlineStr">
        <is>
          <t>CZE</t>
        </is>
      </c>
      <c r="AK2" s="15" t="inlineStr">
        <is>
          <t>EURO</t>
        </is>
      </c>
    </row>
    <row r="3">
      <c r="A3" s="16" t="n"/>
      <c r="B3" s="17" t="n"/>
      <c r="C3" s="18" t="n"/>
      <c r="D3" s="19" t="n">
        <v>150</v>
      </c>
      <c r="E3" s="17" t="inlineStr">
        <is>
          <t>15.08.2026</t>
        </is>
      </c>
      <c r="F3" s="20" t="n"/>
      <c r="G3" s="19" t="n"/>
      <c r="H3" s="20" t="n">
        <v>45.5</v>
      </c>
      <c r="I3" s="19" t="n"/>
      <c r="J3" s="17" t="n"/>
      <c r="K3" s="20" t="n"/>
      <c r="L3" s="21" t="n"/>
      <c r="M3" s="22" t="n"/>
      <c r="N3" s="20" t="n"/>
      <c r="O3" s="23">
        <f>AG44-AK6</f>
        <v/>
      </c>
      <c r="P3" s="24">
        <f>AE44-AJ6</f>
        <v/>
      </c>
      <c r="Q3" s="25" t="n">
        <v>100</v>
      </c>
      <c r="R3" s="26" t="inlineStr">
        <is>
          <t>20.08.2026</t>
        </is>
      </c>
      <c r="S3" s="25" t="n"/>
      <c r="T3" s="26" t="n"/>
      <c r="U3" s="25" t="n"/>
      <c r="V3" s="26" t="n"/>
      <c r="W3" s="27" t="n"/>
      <c r="X3" s="26" t="n"/>
      <c r="Y3" s="27" t="n"/>
      <c r="Z3" s="26" t="n"/>
      <c r="AA3" s="25" t="n"/>
      <c r="AB3" s="26" t="n"/>
      <c r="AC3" s="27" t="n"/>
      <c r="AD3" s="26" t="n"/>
      <c r="AE3" s="28" t="n"/>
      <c r="AF3" s="17" t="n"/>
      <c r="AG3" s="29" t="n"/>
      <c r="AH3" s="30" t="n">
        <v>0</v>
      </c>
      <c r="AI3" s="31" t="n">
        <v>0</v>
      </c>
      <c r="AJ3" s="32">
        <f>AH6+AJ6</f>
        <v/>
      </c>
      <c r="AK3" s="33">
        <f>AK6+AI6</f>
        <v/>
      </c>
    </row>
    <row r="4">
      <c r="A4" s="34" t="n"/>
      <c r="B4" s="35" t="n"/>
      <c r="C4" s="36" t="n"/>
      <c r="D4" s="37" t="n"/>
      <c r="E4" s="35" t="n"/>
      <c r="F4" s="38" t="n"/>
      <c r="G4" s="37" t="n"/>
      <c r="H4" s="38" t="n"/>
      <c r="I4" s="37" t="n"/>
      <c r="J4" s="35" t="n"/>
      <c r="K4" s="38" t="n"/>
      <c r="L4" s="39" t="n"/>
      <c r="M4" s="40" t="n"/>
      <c r="N4" s="38" t="n"/>
      <c r="O4" s="37" t="n"/>
      <c r="P4" s="36" t="n"/>
      <c r="Q4" s="41" t="n"/>
      <c r="R4" s="42" t="n"/>
      <c r="S4" s="41" t="n"/>
      <c r="T4" s="42" t="n"/>
      <c r="U4" s="41" t="n"/>
      <c r="V4" s="42" t="n"/>
      <c r="W4" s="43" t="n"/>
      <c r="X4" s="42" t="n"/>
      <c r="Y4" s="43" t="n"/>
      <c r="Z4" s="42" t="n"/>
      <c r="AA4" s="41" t="n"/>
      <c r="AB4" s="42" t="n"/>
      <c r="AC4" s="43" t="n"/>
      <c r="AD4" s="42" t="n"/>
      <c r="AE4" s="44" t="n"/>
      <c r="AF4" s="35" t="n"/>
      <c r="AG4" s="45" t="n"/>
      <c r="AH4" s="46" t="inlineStr">
        <is>
          <t>Placeno kartou</t>
        </is>
      </c>
      <c r="AI4" s="166" t="n"/>
      <c r="AJ4" s="167" t="inlineStr">
        <is>
          <t xml:space="preserve">Placeno hotově </t>
        </is>
      </c>
      <c r="AK4" s="168" t="n"/>
    </row>
    <row r="5">
      <c r="A5" s="50" t="n"/>
      <c r="B5" s="17" t="n"/>
      <c r="C5" s="18" t="n"/>
      <c r="D5" s="19" t="n"/>
      <c r="E5" s="17" t="n"/>
      <c r="F5" s="20" t="n"/>
      <c r="G5" s="19" t="n"/>
      <c r="H5" s="20" t="n"/>
      <c r="I5" s="19" t="n"/>
      <c r="J5" s="17" t="n"/>
      <c r="K5" s="20" t="n"/>
      <c r="L5" s="21" t="n"/>
      <c r="M5" s="22" t="n"/>
      <c r="N5" s="20" t="n"/>
      <c r="O5" s="19" t="n"/>
      <c r="P5" s="18" t="n"/>
      <c r="Q5" s="25" t="n"/>
      <c r="R5" s="26" t="n"/>
      <c r="S5" s="25" t="n"/>
      <c r="T5" s="26" t="n"/>
      <c r="U5" s="25" t="n"/>
      <c r="V5" s="26" t="n"/>
      <c r="W5" s="27" t="n"/>
      <c r="X5" s="26" t="n"/>
      <c r="Y5" s="27" t="n"/>
      <c r="Z5" s="26" t="n"/>
      <c r="AA5" s="25" t="n"/>
      <c r="AB5" s="26" t="n"/>
      <c r="AC5" s="27" t="n"/>
      <c r="AD5" s="26" t="n"/>
      <c r="AE5" s="28" t="n"/>
      <c r="AF5" s="17" t="n"/>
      <c r="AG5" s="29" t="n"/>
      <c r="AH5" s="51" t="inlineStr">
        <is>
          <t>CZE</t>
        </is>
      </c>
      <c r="AI5" s="52" t="inlineStr">
        <is>
          <t>EURO</t>
        </is>
      </c>
      <c r="AJ5" s="51" t="inlineStr">
        <is>
          <t>CZE</t>
        </is>
      </c>
      <c r="AK5" s="52" t="inlineStr">
        <is>
          <t>EURO</t>
        </is>
      </c>
    </row>
    <row r="6">
      <c r="A6" s="34" t="n"/>
      <c r="B6" s="35" t="n"/>
      <c r="C6" s="36" t="n"/>
      <c r="D6" s="37" t="n"/>
      <c r="E6" s="35" t="n"/>
      <c r="F6" s="38" t="n"/>
      <c r="G6" s="37" t="n"/>
      <c r="H6" s="38" t="n"/>
      <c r="I6" s="37" t="n"/>
      <c r="J6" s="35" t="n"/>
      <c r="K6" s="38" t="n"/>
      <c r="L6" s="39" t="n"/>
      <c r="M6" s="40" t="n"/>
      <c r="N6" s="38" t="n"/>
      <c r="O6" s="37" t="n"/>
      <c r="P6" s="36" t="n"/>
      <c r="Q6" s="41" t="n"/>
      <c r="R6" s="42" t="n"/>
      <c r="S6" s="41" t="n"/>
      <c r="T6" s="42" t="n"/>
      <c r="U6" s="41" t="n"/>
      <c r="V6" s="42" t="n"/>
      <c r="W6" s="43" t="n"/>
      <c r="X6" s="42" t="n"/>
      <c r="Y6" s="43" t="n"/>
      <c r="Z6" s="42" t="n"/>
      <c r="AA6" s="41" t="n"/>
      <c r="AB6" s="42" t="n"/>
      <c r="AC6" s="53" t="n"/>
      <c r="AD6" s="42" t="n"/>
      <c r="AE6" s="44" t="n"/>
      <c r="AF6" s="35" t="n"/>
      <c r="AG6" s="54" t="n"/>
      <c r="AH6" s="55">
        <f>A44+L44</f>
        <v/>
      </c>
      <c r="AI6" s="56">
        <f>D44+H44+K44+N45</f>
        <v/>
      </c>
      <c r="AJ6" s="55">
        <f>L45+C44+U48+Q47</f>
        <v/>
      </c>
      <c r="AK6" s="56">
        <f>F44+G44+I44+M45+Q44+S44+W44+Y44+AA44+AC44+Y47+Y50+AA47+AA50+AC47+AC50+U44</f>
        <v/>
      </c>
    </row>
    <row r="7">
      <c r="A7" s="50" t="n"/>
      <c r="B7" s="17" t="n"/>
      <c r="C7" s="18" t="n"/>
      <c r="D7" s="19" t="n"/>
      <c r="E7" s="17" t="n"/>
      <c r="F7" s="20" t="n"/>
      <c r="G7" s="19" t="n"/>
      <c r="H7" s="20" t="n"/>
      <c r="I7" s="19" t="n"/>
      <c r="J7" s="17" t="n"/>
      <c r="K7" s="20" t="n"/>
      <c r="L7" s="21" t="n"/>
      <c r="M7" s="22" t="n"/>
      <c r="N7" s="20" t="n"/>
      <c r="O7" s="19" t="n"/>
      <c r="P7" s="18" t="n"/>
      <c r="Q7" s="19" t="n"/>
      <c r="R7" s="26" t="n"/>
      <c r="S7" s="25" t="n"/>
      <c r="T7" s="26" t="n"/>
      <c r="U7" s="25" t="n"/>
      <c r="V7" s="26" t="n"/>
      <c r="W7" s="27" t="n"/>
      <c r="X7" s="26" t="n"/>
      <c r="Y7" s="27" t="n"/>
      <c r="Z7" s="26" t="n"/>
      <c r="AA7" s="25" t="n"/>
      <c r="AB7" s="26" t="n"/>
      <c r="AC7" s="27" t="n"/>
      <c r="AD7" s="26" t="n"/>
      <c r="AE7" s="21" t="n"/>
      <c r="AF7" s="17" t="n"/>
      <c r="AG7" s="29" t="n"/>
      <c r="AH7" s="57" t="inlineStr">
        <is>
          <t>Monese (+)</t>
        </is>
      </c>
      <c r="AI7" s="58" t="inlineStr">
        <is>
          <t>Monese (-)</t>
        </is>
      </c>
      <c r="AJ7" s="59" t="n"/>
      <c r="AK7" s="59" t="n"/>
    </row>
    <row r="8">
      <c r="A8" s="34" t="n"/>
      <c r="B8" s="35" t="n"/>
      <c r="C8" s="36" t="n"/>
      <c r="D8" s="37" t="n"/>
      <c r="E8" s="35" t="n"/>
      <c r="F8" s="38" t="n"/>
      <c r="G8" s="37" t="n"/>
      <c r="H8" s="38" t="n"/>
      <c r="I8" s="37" t="n"/>
      <c r="J8" s="35" t="n"/>
      <c r="K8" s="38" t="n"/>
      <c r="L8" s="39" t="n"/>
      <c r="M8" s="40" t="n"/>
      <c r="N8" s="38" t="n"/>
      <c r="O8" s="37" t="n"/>
      <c r="P8" s="36" t="n"/>
      <c r="Q8" s="37" t="n"/>
      <c r="R8" s="42" t="n"/>
      <c r="S8" s="37" t="n"/>
      <c r="T8" s="42" t="n"/>
      <c r="U8" s="41" t="n"/>
      <c r="V8" s="42" t="n"/>
      <c r="W8" s="43" t="n"/>
      <c r="X8" s="42" t="n"/>
      <c r="Y8" s="43" t="n"/>
      <c r="Z8" s="42" t="n"/>
      <c r="AA8" s="41" t="n"/>
      <c r="AB8" s="42" t="n"/>
      <c r="AC8" s="43" t="n"/>
      <c r="AD8" s="42" t="n"/>
      <c r="AE8" s="44" t="n"/>
      <c r="AF8" s="35" t="n"/>
      <c r="AG8" s="45" t="n"/>
      <c r="AH8" s="60" t="n">
        <v>0</v>
      </c>
      <c r="AI8" s="61">
        <f>E44</f>
        <v/>
      </c>
      <c r="AJ8" s="59" t="n"/>
      <c r="AK8" s="59" t="n"/>
    </row>
    <row r="9">
      <c r="A9" s="50" t="n"/>
      <c r="B9" s="17" t="n"/>
      <c r="C9" s="18" t="n"/>
      <c r="D9" s="19" t="n"/>
      <c r="E9" s="17" t="n"/>
      <c r="F9" s="20" t="n"/>
      <c r="G9" s="19" t="n"/>
      <c r="H9" s="20" t="n"/>
      <c r="I9" s="19" t="n"/>
      <c r="J9" s="17" t="n"/>
      <c r="K9" s="20" t="n"/>
      <c r="L9" s="21" t="n"/>
      <c r="M9" s="22" t="n"/>
      <c r="N9" s="20" t="n"/>
      <c r="O9" s="19" t="n"/>
      <c r="P9" s="18" t="n"/>
      <c r="Q9" s="19" t="n"/>
      <c r="R9" s="26" t="n"/>
      <c r="S9" s="19" t="n"/>
      <c r="T9" s="26" t="n"/>
      <c r="U9" s="25" t="n"/>
      <c r="V9" s="26" t="n"/>
      <c r="W9" s="27" t="n"/>
      <c r="X9" s="26" t="n"/>
      <c r="Y9" s="27" t="n"/>
      <c r="Z9" s="26" t="n"/>
      <c r="AA9" s="25" t="n"/>
      <c r="AB9" s="26" t="n"/>
      <c r="AC9" s="27" t="n"/>
      <c r="AD9" s="26" t="n"/>
      <c r="AE9" s="21" t="n"/>
      <c r="AF9" s="17" t="n"/>
      <c r="AG9" s="62" t="n"/>
      <c r="AH9" s="169">
        <f>AH8-AI8</f>
        <v/>
      </c>
      <c r="AI9" s="168" t="n"/>
      <c r="AJ9" s="59" t="n"/>
      <c r="AK9" s="59" t="n"/>
    </row>
    <row r="10">
      <c r="A10" s="64" t="n"/>
      <c r="B10" s="35" t="n"/>
      <c r="C10" s="65" t="n"/>
      <c r="D10" s="66" t="n"/>
      <c r="E10" s="35" t="n"/>
      <c r="F10" s="67" t="n"/>
      <c r="G10" s="68" t="n"/>
      <c r="H10" s="69" t="n"/>
      <c r="I10" s="66" t="n"/>
      <c r="J10" s="35" t="n"/>
      <c r="K10" s="67" t="n"/>
      <c r="L10" s="70" t="n"/>
      <c r="M10" s="40" t="n"/>
      <c r="N10" s="38" t="n"/>
      <c r="O10" s="41" t="n"/>
      <c r="P10" s="65" t="n"/>
      <c r="Q10" s="37" t="n"/>
      <c r="R10" s="42" t="n"/>
      <c r="S10" s="37" t="n"/>
      <c r="T10" s="42" t="n"/>
      <c r="U10" s="41" t="n"/>
      <c r="V10" s="42" t="n"/>
      <c r="W10" s="43" t="n"/>
      <c r="X10" s="42" t="n"/>
      <c r="Y10" s="53" t="n"/>
      <c r="Z10" s="42" t="n"/>
      <c r="AA10" s="41" t="n"/>
      <c r="AB10" s="71" t="n"/>
      <c r="AC10" s="53" t="n"/>
      <c r="AD10" s="72" t="n"/>
      <c r="AE10" s="73" t="n"/>
      <c r="AF10" s="35" t="n"/>
      <c r="AG10" s="74" t="n"/>
      <c r="AH10" s="59" t="n"/>
      <c r="AI10" s="59" t="n"/>
      <c r="AJ10" s="59" t="n"/>
      <c r="AK10" s="59" t="n"/>
    </row>
    <row r="11">
      <c r="A11" s="75" t="n"/>
      <c r="B11" s="17" t="n"/>
      <c r="C11" s="76" t="n"/>
      <c r="D11" s="77" t="n"/>
      <c r="E11" s="17" t="n"/>
      <c r="F11" s="78" t="n"/>
      <c r="G11" s="79" t="n"/>
      <c r="H11" s="80" t="n"/>
      <c r="I11" s="77" t="n"/>
      <c r="J11" s="17" t="n"/>
      <c r="K11" s="78" t="n"/>
      <c r="L11" s="81" t="n"/>
      <c r="M11" s="22" t="n"/>
      <c r="N11" s="20" t="n"/>
      <c r="O11" s="25" t="n"/>
      <c r="P11" s="76" t="n"/>
      <c r="Q11" s="25" t="n"/>
      <c r="R11" s="26" t="n"/>
      <c r="S11" s="19" t="n"/>
      <c r="T11" s="26" t="n"/>
      <c r="U11" s="25" t="n"/>
      <c r="V11" s="26" t="n"/>
      <c r="W11" s="27" t="n"/>
      <c r="X11" s="26" t="n"/>
      <c r="Y11" s="82" t="n"/>
      <c r="Z11" s="26" t="n"/>
      <c r="AA11" s="25" t="n"/>
      <c r="AB11" s="83" t="n"/>
      <c r="AC11" s="82" t="n"/>
      <c r="AD11" s="84" t="n"/>
      <c r="AE11" s="85" t="n"/>
      <c r="AF11" s="17" t="n"/>
      <c r="AG11" s="29" t="n"/>
      <c r="AH11" s="59" t="n"/>
      <c r="AI11" s="59" t="n"/>
      <c r="AJ11" s="59" t="n"/>
      <c r="AK11" s="59" t="n"/>
    </row>
    <row r="12">
      <c r="A12" s="64" t="n"/>
      <c r="B12" s="35" t="n"/>
      <c r="C12" s="65" t="n"/>
      <c r="D12" s="66" t="n"/>
      <c r="E12" s="35" t="n"/>
      <c r="F12" s="67" t="n"/>
      <c r="G12" s="68" t="n"/>
      <c r="H12" s="69" t="n"/>
      <c r="I12" s="66" t="n"/>
      <c r="J12" s="35" t="n"/>
      <c r="K12" s="67" t="n"/>
      <c r="L12" s="70" t="n"/>
      <c r="M12" s="40" t="n"/>
      <c r="N12" s="38" t="n"/>
      <c r="O12" s="41" t="n"/>
      <c r="P12" s="65" t="n"/>
      <c r="Q12" s="41" t="n"/>
      <c r="R12" s="42" t="n"/>
      <c r="S12" s="37" t="n"/>
      <c r="T12" s="42" t="n"/>
      <c r="U12" s="41" t="n"/>
      <c r="V12" s="42" t="n"/>
      <c r="W12" s="53" t="n"/>
      <c r="X12" s="42" t="n"/>
      <c r="Y12" s="53" t="n"/>
      <c r="Z12" s="42" t="n"/>
      <c r="AA12" s="41" t="n"/>
      <c r="AB12" s="71" t="n"/>
      <c r="AC12" s="53" t="n"/>
      <c r="AD12" s="72" t="n"/>
      <c r="AE12" s="73" t="n"/>
      <c r="AF12" s="86" t="n"/>
      <c r="AG12" s="53" t="n"/>
      <c r="AH12" s="87" t="n"/>
      <c r="AI12" s="88" t="n"/>
      <c r="AJ12" s="89" t="n"/>
      <c r="AK12" s="88" t="n"/>
    </row>
    <row r="13">
      <c r="A13" s="75" t="n"/>
      <c r="B13" s="17" t="n"/>
      <c r="C13" s="76" t="n"/>
      <c r="D13" s="77" t="n"/>
      <c r="E13" s="17" t="n"/>
      <c r="F13" s="78" t="n"/>
      <c r="G13" s="79" t="n"/>
      <c r="H13" s="80" t="n"/>
      <c r="I13" s="77" t="n"/>
      <c r="J13" s="17" t="n"/>
      <c r="K13" s="78" t="n"/>
      <c r="L13" s="81" t="n"/>
      <c r="M13" s="22" t="n"/>
      <c r="N13" s="20" t="n"/>
      <c r="O13" s="25" t="n"/>
      <c r="P13" s="76" t="n"/>
      <c r="Q13" s="25" t="n"/>
      <c r="R13" s="26" t="n"/>
      <c r="S13" s="19" t="n"/>
      <c r="T13" s="26" t="n"/>
      <c r="U13" s="25" t="n"/>
      <c r="V13" s="26" t="n"/>
      <c r="W13" s="82" t="n"/>
      <c r="X13" s="26" t="n"/>
      <c r="Y13" s="82" t="n"/>
      <c r="Z13" s="26" t="n"/>
      <c r="AA13" s="25" t="n"/>
      <c r="AB13" s="83" t="n"/>
      <c r="AC13" s="82" t="n"/>
      <c r="AD13" s="83" t="n"/>
      <c r="AE13" s="85" t="n"/>
      <c r="AF13" s="17" t="n"/>
      <c r="AG13" s="62" t="n"/>
      <c r="AH13" s="87" t="n"/>
      <c r="AI13" s="88" t="n"/>
      <c r="AJ13" s="89" t="n"/>
      <c r="AK13" s="88" t="n"/>
    </row>
    <row r="14">
      <c r="A14" s="34" t="n"/>
      <c r="B14" s="35" t="n"/>
      <c r="C14" s="36" t="n"/>
      <c r="D14" s="66" t="n"/>
      <c r="E14" s="35" t="n"/>
      <c r="F14" s="38" t="n"/>
      <c r="G14" s="37" t="n"/>
      <c r="H14" s="38" t="n"/>
      <c r="I14" s="37" t="n"/>
      <c r="J14" s="35" t="n"/>
      <c r="K14" s="38" t="n"/>
      <c r="L14" s="39" t="n"/>
      <c r="M14" s="40" t="n"/>
      <c r="N14" s="38" t="n"/>
      <c r="O14" s="37" t="n"/>
      <c r="P14" s="36" t="n"/>
      <c r="Q14" s="41" t="n"/>
      <c r="R14" s="42" t="n"/>
      <c r="S14" s="37" t="n"/>
      <c r="T14" s="42" t="n"/>
      <c r="U14" s="41" t="n"/>
      <c r="V14" s="42" t="n"/>
      <c r="W14" s="43" t="n"/>
      <c r="X14" s="42" t="n"/>
      <c r="Y14" s="43" t="n"/>
      <c r="Z14" s="42" t="n"/>
      <c r="AA14" s="37" t="n"/>
      <c r="AB14" s="42" t="n"/>
      <c r="AC14" s="53" t="n"/>
      <c r="AD14" s="42" t="n"/>
      <c r="AE14" s="73" t="n"/>
      <c r="AF14" s="86" t="n"/>
      <c r="AG14" s="35" t="n"/>
      <c r="AH14" s="87" t="n"/>
      <c r="AI14" s="88" t="n"/>
      <c r="AJ14" s="89" t="n"/>
      <c r="AK14" s="88" t="n"/>
    </row>
    <row r="15">
      <c r="A15" s="50" t="n"/>
      <c r="B15" s="17" t="n"/>
      <c r="C15" s="18" t="n"/>
      <c r="D15" s="19" t="n"/>
      <c r="E15" s="17" t="n"/>
      <c r="F15" s="20" t="n"/>
      <c r="G15" s="19" t="n"/>
      <c r="H15" s="20" t="n"/>
      <c r="I15" s="19" t="n"/>
      <c r="J15" s="17" t="n"/>
      <c r="K15" s="20" t="n"/>
      <c r="L15" s="21" t="n"/>
      <c r="M15" s="22" t="n"/>
      <c r="N15" s="29" t="n"/>
      <c r="O15" s="19" t="n"/>
      <c r="P15" s="18" t="n"/>
      <c r="Q15" s="25" t="n"/>
      <c r="R15" s="26" t="n"/>
      <c r="S15" s="19" t="n"/>
      <c r="T15" s="26" t="n"/>
      <c r="U15" s="25" t="n"/>
      <c r="V15" s="26" t="n"/>
      <c r="W15" s="27" t="n"/>
      <c r="X15" s="26" t="n"/>
      <c r="Y15" s="90" t="inlineStr">
        <is>
          <t>Sloupec8</t>
        </is>
      </c>
      <c r="Z15" s="91" t="inlineStr">
        <is>
          <t>Datum</t>
        </is>
      </c>
      <c r="AA15" s="90" t="inlineStr">
        <is>
          <t>Sloupec9</t>
        </is>
      </c>
      <c r="AB15" s="91" t="inlineStr">
        <is>
          <t>Datum</t>
        </is>
      </c>
      <c r="AC15" s="90" t="inlineStr">
        <is>
          <t>Sloupec10</t>
        </is>
      </c>
      <c r="AD15" s="91" t="inlineStr">
        <is>
          <t>Datum</t>
        </is>
      </c>
      <c r="AE15" s="28" t="n"/>
      <c r="AF15" s="17" t="n"/>
      <c r="AG15" s="62" t="n"/>
      <c r="AH15" s="87" t="n"/>
      <c r="AI15" s="88" t="n"/>
      <c r="AJ15" s="89" t="n"/>
      <c r="AK15" s="88" t="n"/>
    </row>
    <row r="16">
      <c r="A16" s="34" t="n"/>
      <c r="B16" s="35" t="n"/>
      <c r="C16" s="36" t="n"/>
      <c r="D16" s="37" t="n"/>
      <c r="E16" s="35" t="n"/>
      <c r="F16" s="38" t="n"/>
      <c r="G16" s="37" t="n"/>
      <c r="H16" s="38" t="n"/>
      <c r="I16" s="37" t="n"/>
      <c r="J16" s="35" t="n"/>
      <c r="K16" s="38" t="n"/>
      <c r="L16" s="39" t="n"/>
      <c r="M16" s="40" t="n"/>
      <c r="N16" s="38" t="n"/>
      <c r="O16" s="37" t="n"/>
      <c r="P16" s="36" t="n"/>
      <c r="Q16" s="41" t="n"/>
      <c r="R16" s="42" t="n"/>
      <c r="S16" s="37" t="n"/>
      <c r="T16" s="42" t="n"/>
      <c r="U16" s="41" t="n"/>
      <c r="V16" s="42" t="n"/>
      <c r="W16" s="43" t="n"/>
      <c r="X16" s="42" t="n"/>
      <c r="Y16" s="43" t="n"/>
      <c r="Z16" s="42" t="n"/>
      <c r="AA16" s="41" t="n"/>
      <c r="AB16" s="42" t="n"/>
      <c r="AC16" s="43" t="n"/>
      <c r="AD16" s="42" t="n"/>
      <c r="AE16" s="44" t="n"/>
      <c r="AF16" s="35" t="n"/>
      <c r="AG16" s="45" t="n"/>
      <c r="AH16" s="87" t="n"/>
      <c r="AI16" s="88" t="n"/>
      <c r="AJ16" s="89" t="n"/>
      <c r="AK16" s="88" t="n"/>
    </row>
    <row r="17">
      <c r="A17" s="75" t="n"/>
      <c r="B17" s="17" t="n"/>
      <c r="C17" s="76" t="n"/>
      <c r="D17" s="77" t="n"/>
      <c r="E17" s="17" t="n"/>
      <c r="F17" s="78" t="n"/>
      <c r="G17" s="79" t="n"/>
      <c r="H17" s="80" t="n"/>
      <c r="I17" s="77" t="n"/>
      <c r="J17" s="17" t="n"/>
      <c r="K17" s="78" t="n"/>
      <c r="L17" s="81" t="n"/>
      <c r="M17" s="22" t="n"/>
      <c r="N17" s="20" t="n"/>
      <c r="O17" s="25" t="n"/>
      <c r="P17" s="76" t="n"/>
      <c r="Q17" s="25" t="n"/>
      <c r="R17" s="26" t="n"/>
      <c r="S17" s="19" t="n"/>
      <c r="T17" s="26" t="n"/>
      <c r="U17" s="25" t="n"/>
      <c r="V17" s="26" t="n"/>
      <c r="W17" s="27" t="n"/>
      <c r="X17" s="26" t="n"/>
      <c r="Y17" s="82" t="n"/>
      <c r="Z17" s="26" t="n"/>
      <c r="AA17" s="25" t="n"/>
      <c r="AB17" s="83" t="n"/>
      <c r="AC17" s="82" t="n"/>
      <c r="AD17" s="83" t="n"/>
      <c r="AE17" s="85" t="n"/>
      <c r="AF17" s="17" t="n"/>
      <c r="AG17" s="62" t="n"/>
      <c r="AH17" s="87" t="n"/>
      <c r="AI17" s="88" t="n"/>
      <c r="AJ17" s="89" t="n"/>
      <c r="AK17" s="88" t="n"/>
    </row>
    <row r="18">
      <c r="A18" s="64" t="n"/>
      <c r="B18" s="35" t="n"/>
      <c r="C18" s="65" t="n"/>
      <c r="D18" s="66" t="n"/>
      <c r="E18" s="35" t="n"/>
      <c r="F18" s="67" t="n"/>
      <c r="G18" s="68" t="n"/>
      <c r="H18" s="69" t="n"/>
      <c r="I18" s="66" t="n"/>
      <c r="J18" s="35" t="n"/>
      <c r="K18" s="67" t="n"/>
      <c r="L18" s="70" t="n"/>
      <c r="M18" s="40" t="n"/>
      <c r="N18" s="38" t="n"/>
      <c r="O18" s="41" t="n"/>
      <c r="P18" s="65" t="n"/>
      <c r="Q18" s="41" t="n"/>
      <c r="R18" s="42" t="n"/>
      <c r="S18" s="37" t="n"/>
      <c r="T18" s="42" t="n"/>
      <c r="U18" s="41" t="n"/>
      <c r="V18" s="42" t="n"/>
      <c r="W18" s="43" t="n"/>
      <c r="X18" s="42" t="n"/>
      <c r="Y18" s="53" t="n"/>
      <c r="Z18" s="42" t="n"/>
      <c r="AA18" s="41" t="n"/>
      <c r="AB18" s="71" t="n"/>
      <c r="AC18" s="53" t="n"/>
      <c r="AD18" s="71" t="n"/>
      <c r="AE18" s="73" t="n"/>
      <c r="AF18" s="35" t="n"/>
      <c r="AG18" s="45" t="n"/>
      <c r="AH18" s="87" t="n"/>
      <c r="AI18" s="88" t="n"/>
      <c r="AJ18" s="89" t="n"/>
      <c r="AK18" s="88" t="n"/>
    </row>
    <row r="19">
      <c r="A19" s="75" t="n"/>
      <c r="B19" s="17" t="n"/>
      <c r="C19" s="76" t="n"/>
      <c r="D19" s="77" t="n"/>
      <c r="E19" s="17" t="n"/>
      <c r="F19" s="78" t="n"/>
      <c r="G19" s="79" t="n"/>
      <c r="H19" s="80" t="n"/>
      <c r="I19" s="77" t="n"/>
      <c r="J19" s="17" t="n"/>
      <c r="K19" s="78" t="n"/>
      <c r="L19" s="81" t="n"/>
      <c r="M19" s="22" t="n"/>
      <c r="N19" s="20" t="n"/>
      <c r="O19" s="25" t="n"/>
      <c r="P19" s="76" t="n"/>
      <c r="Q19" s="25" t="n"/>
      <c r="R19" s="26" t="n"/>
      <c r="S19" s="19" t="n"/>
      <c r="T19" s="26" t="n"/>
      <c r="U19" s="25" t="n"/>
      <c r="V19" s="26" t="n"/>
      <c r="W19" s="27" t="n"/>
      <c r="X19" s="26" t="n"/>
      <c r="Y19" s="82" t="n"/>
      <c r="Z19" s="26" t="n"/>
      <c r="AA19" s="25" t="n"/>
      <c r="AB19" s="83" t="n"/>
      <c r="AC19" s="82" t="n"/>
      <c r="AD19" s="83" t="n"/>
      <c r="AE19" s="85" t="n"/>
      <c r="AF19" s="17" t="n"/>
      <c r="AG19" s="62" t="n"/>
      <c r="AH19" s="87" t="n"/>
      <c r="AI19" s="88" t="n"/>
      <c r="AJ19" s="89" t="n"/>
      <c r="AK19" s="88" t="n"/>
    </row>
    <row r="20">
      <c r="A20" s="34" t="n"/>
      <c r="B20" s="35" t="n"/>
      <c r="C20" s="36" t="n"/>
      <c r="D20" s="37" t="n"/>
      <c r="E20" s="35" t="n"/>
      <c r="F20" s="38" t="n"/>
      <c r="G20" s="37" t="n"/>
      <c r="H20" s="38" t="n"/>
      <c r="I20" s="37" t="n"/>
      <c r="J20" s="35" t="n"/>
      <c r="K20" s="38" t="n"/>
      <c r="L20" s="39" t="n"/>
      <c r="M20" s="40" t="n"/>
      <c r="N20" s="38" t="n"/>
      <c r="O20" s="37" t="n"/>
      <c r="P20" s="36" t="n"/>
      <c r="Q20" s="41" t="n"/>
      <c r="R20" s="42" t="n"/>
      <c r="S20" s="37" t="n"/>
      <c r="T20" s="42" t="n"/>
      <c r="U20" s="41" t="n"/>
      <c r="V20" s="42" t="n"/>
      <c r="W20" s="43" t="n"/>
      <c r="X20" s="42" t="n"/>
      <c r="Y20" s="43" t="n"/>
      <c r="Z20" s="42" t="n"/>
      <c r="AA20" s="41" t="n"/>
      <c r="AB20" s="42" t="n"/>
      <c r="AC20" s="53" t="n"/>
      <c r="AD20" s="42" t="n"/>
      <c r="AE20" s="73" t="n"/>
      <c r="AF20" s="35" t="n"/>
      <c r="AG20" s="45" t="n"/>
      <c r="AH20" s="87" t="n"/>
      <c r="AI20" s="88" t="n"/>
      <c r="AJ20" s="89" t="n"/>
      <c r="AK20" s="88" t="n"/>
    </row>
    <row r="21">
      <c r="A21" s="50" t="n"/>
      <c r="B21" s="17" t="n"/>
      <c r="C21" s="18" t="n"/>
      <c r="D21" s="19" t="n"/>
      <c r="E21" s="17" t="n"/>
      <c r="F21" s="20" t="n"/>
      <c r="G21" s="19" t="n"/>
      <c r="H21" s="20" t="n"/>
      <c r="I21" s="19" t="n"/>
      <c r="J21" s="17" t="n"/>
      <c r="K21" s="20" t="n"/>
      <c r="L21" s="21" t="n"/>
      <c r="M21" s="22" t="n"/>
      <c r="N21" s="20" t="n"/>
      <c r="O21" s="19" t="n"/>
      <c r="P21" s="18" t="n"/>
      <c r="Q21" s="25" t="n"/>
      <c r="R21" s="26" t="n"/>
      <c r="S21" s="19" t="n"/>
      <c r="T21" s="26" t="n"/>
      <c r="U21" s="25" t="n"/>
      <c r="V21" s="26" t="n"/>
      <c r="W21" s="27" t="n"/>
      <c r="X21" s="26" t="n"/>
      <c r="Y21" s="27" t="n"/>
      <c r="Z21" s="26" t="n"/>
      <c r="AA21" s="25" t="n"/>
      <c r="AB21" s="26" t="n"/>
      <c r="AC21" s="82" t="n"/>
      <c r="AD21" s="26" t="n"/>
      <c r="AE21" s="28" t="n"/>
      <c r="AF21" s="17" t="n"/>
      <c r="AG21" s="62" t="n"/>
      <c r="AH21" s="87" t="n"/>
      <c r="AI21" s="88" t="n"/>
      <c r="AJ21" s="89" t="n"/>
      <c r="AK21" s="88" t="n"/>
    </row>
    <row r="22">
      <c r="A22" s="92" t="n"/>
      <c r="B22" s="35" t="n"/>
      <c r="C22" s="36" t="n"/>
      <c r="D22" s="37" t="n"/>
      <c r="E22" s="35" t="n"/>
      <c r="F22" s="38" t="n"/>
      <c r="G22" s="37" t="n"/>
      <c r="H22" s="38" t="n"/>
      <c r="I22" s="37" t="n"/>
      <c r="J22" s="35" t="n"/>
      <c r="K22" s="38" t="n"/>
      <c r="L22" s="39" t="n"/>
      <c r="M22" s="40" t="n"/>
      <c r="N22" s="38" t="n"/>
      <c r="O22" s="37" t="n"/>
      <c r="P22" s="36" t="n"/>
      <c r="Q22" s="41" t="n"/>
      <c r="R22" s="42" t="n"/>
      <c r="S22" s="37" t="n"/>
      <c r="T22" s="42" t="n"/>
      <c r="U22" s="41" t="n"/>
      <c r="V22" s="42" t="n"/>
      <c r="W22" s="53" t="n"/>
      <c r="X22" s="42" t="n"/>
      <c r="Y22" s="43" t="n"/>
      <c r="Z22" s="42" t="n"/>
      <c r="AA22" s="41" t="n"/>
      <c r="AB22" s="42" t="n"/>
      <c r="AC22" s="53" t="n"/>
      <c r="AD22" s="42" t="n"/>
      <c r="AE22" s="44" t="n"/>
      <c r="AF22" s="35" t="n"/>
      <c r="AG22" s="45" t="n"/>
      <c r="AH22" s="87" t="n"/>
      <c r="AI22" s="88" t="n"/>
      <c r="AJ22" s="89" t="n"/>
      <c r="AK22" s="88" t="n"/>
    </row>
    <row r="23">
      <c r="A23" s="16" t="n"/>
      <c r="B23" s="17" t="n"/>
      <c r="C23" s="18" t="n"/>
      <c r="D23" s="19" t="n"/>
      <c r="E23" s="17" t="n"/>
      <c r="F23" s="20" t="n"/>
      <c r="G23" s="19" t="n"/>
      <c r="H23" s="20" t="n"/>
      <c r="I23" s="19" t="n"/>
      <c r="J23" s="17" t="n"/>
      <c r="K23" s="20" t="n"/>
      <c r="L23" s="21" t="n"/>
      <c r="M23" s="22" t="n"/>
      <c r="N23" s="20" t="n"/>
      <c r="O23" s="19" t="n"/>
      <c r="P23" s="18" t="n"/>
      <c r="Q23" s="25" t="n"/>
      <c r="R23" s="26" t="n"/>
      <c r="S23" s="19" t="n"/>
      <c r="T23" s="26" t="n"/>
      <c r="U23" s="25" t="n"/>
      <c r="V23" s="26" t="n"/>
      <c r="W23" s="82" t="n"/>
      <c r="X23" s="26" t="n"/>
      <c r="Y23" s="27" t="n"/>
      <c r="Z23" s="26" t="n"/>
      <c r="AA23" s="19" t="n"/>
      <c r="AB23" s="26" t="n"/>
      <c r="AC23" s="82" t="n"/>
      <c r="AD23" s="26" t="n"/>
      <c r="AE23" s="28" t="n"/>
      <c r="AF23" s="17" t="n"/>
      <c r="AG23" s="62" t="n"/>
      <c r="AH23" s="87" t="n"/>
      <c r="AI23" s="88" t="n"/>
      <c r="AJ23" s="89" t="n"/>
      <c r="AK23" s="88" t="n"/>
    </row>
    <row r="24">
      <c r="A24" s="92" t="n"/>
      <c r="B24" s="35" t="n"/>
      <c r="C24" s="36" t="n"/>
      <c r="D24" s="37" t="n"/>
      <c r="E24" s="35" t="n"/>
      <c r="F24" s="38" t="n"/>
      <c r="G24" s="37" t="n"/>
      <c r="H24" s="38" t="n"/>
      <c r="I24" s="37" t="n"/>
      <c r="J24" s="35" t="n"/>
      <c r="K24" s="38" t="n"/>
      <c r="L24" s="39" t="n"/>
      <c r="M24" s="40" t="n"/>
      <c r="N24" s="38" t="n"/>
      <c r="O24" s="37" t="n"/>
      <c r="P24" s="36" t="n"/>
      <c r="Q24" s="41" t="n"/>
      <c r="R24" s="42" t="n"/>
      <c r="S24" s="37" t="n"/>
      <c r="T24" s="42" t="n"/>
      <c r="U24" s="41" t="n"/>
      <c r="V24" s="42" t="n"/>
      <c r="W24" s="53" t="n"/>
      <c r="X24" s="42" t="n"/>
      <c r="Y24" s="43" t="n"/>
      <c r="Z24" s="42" t="n"/>
      <c r="AA24" s="37" t="n"/>
      <c r="AB24" s="42" t="n"/>
      <c r="AC24" s="53" t="n"/>
      <c r="AD24" s="42" t="n"/>
      <c r="AE24" s="44" t="n"/>
      <c r="AF24" s="35" t="n"/>
      <c r="AG24" s="45" t="n"/>
      <c r="AH24" s="87" t="n"/>
      <c r="AI24" s="88" t="n"/>
      <c r="AJ24" s="89" t="n"/>
      <c r="AK24" s="88" t="n"/>
    </row>
    <row r="25">
      <c r="A25" s="16" t="n"/>
      <c r="B25" s="17" t="n"/>
      <c r="C25" s="18" t="n"/>
      <c r="D25" s="19" t="n"/>
      <c r="E25" s="17" t="n"/>
      <c r="F25" s="20" t="n"/>
      <c r="G25" s="19" t="n"/>
      <c r="H25" s="20" t="n"/>
      <c r="I25" s="19" t="n"/>
      <c r="J25" s="17" t="n"/>
      <c r="K25" s="20" t="n"/>
      <c r="L25" s="21" t="n"/>
      <c r="M25" s="22" t="n"/>
      <c r="N25" s="20" t="n"/>
      <c r="O25" s="19" t="n"/>
      <c r="P25" s="18" t="n"/>
      <c r="Q25" s="25" t="n"/>
      <c r="R25" s="26" t="n"/>
      <c r="S25" s="19" t="n"/>
      <c r="T25" s="26" t="n"/>
      <c r="U25" s="25" t="n"/>
      <c r="V25" s="26" t="n"/>
      <c r="W25" s="82" t="n"/>
      <c r="X25" s="26" t="n"/>
      <c r="Y25" s="27" t="n"/>
      <c r="Z25" s="26" t="n"/>
      <c r="AA25" s="19" t="n"/>
      <c r="AB25" s="26" t="n"/>
      <c r="AC25" s="82" t="n"/>
      <c r="AD25" s="26" t="n"/>
      <c r="AE25" s="28" t="n"/>
      <c r="AF25" s="17" t="n"/>
      <c r="AG25" s="62" t="n"/>
      <c r="AH25" s="87" t="n"/>
      <c r="AI25" s="88" t="n"/>
      <c r="AJ25" s="89" t="n"/>
      <c r="AK25" s="88" t="n"/>
    </row>
    <row r="26">
      <c r="A26" s="93" t="n"/>
      <c r="B26" s="35" t="n"/>
      <c r="C26" s="65" t="n"/>
      <c r="D26" s="66" t="n"/>
      <c r="E26" s="35" t="n"/>
      <c r="F26" s="67" t="n"/>
      <c r="G26" s="68" t="n"/>
      <c r="H26" s="69" t="n"/>
      <c r="I26" s="66" t="n"/>
      <c r="J26" s="35" t="n"/>
      <c r="K26" s="67" t="n"/>
      <c r="L26" s="70" t="n"/>
      <c r="M26" s="40" t="n"/>
      <c r="N26" s="38" t="n"/>
      <c r="O26" s="41" t="n"/>
      <c r="P26" s="65" t="n"/>
      <c r="Q26" s="37" t="n"/>
      <c r="R26" s="42" t="n"/>
      <c r="S26" s="37" t="n"/>
      <c r="T26" s="42" t="n"/>
      <c r="U26" s="41" t="n"/>
      <c r="V26" s="42" t="n"/>
      <c r="W26" s="53" t="n"/>
      <c r="X26" s="42" t="n"/>
      <c r="Y26" s="53" t="n"/>
      <c r="Z26" s="42" t="n"/>
      <c r="AA26" s="41" t="n"/>
      <c r="AB26" s="71" t="n"/>
      <c r="AC26" s="53" t="n"/>
      <c r="AD26" s="71" t="n"/>
      <c r="AE26" s="73" t="n"/>
      <c r="AF26" s="35" t="n"/>
      <c r="AG26" s="45" t="n"/>
      <c r="AH26" s="87" t="n"/>
      <c r="AI26" s="88" t="n"/>
      <c r="AJ26" s="89" t="n"/>
      <c r="AK26" s="88" t="n"/>
    </row>
    <row r="27">
      <c r="A27" s="16" t="n"/>
      <c r="B27" s="17" t="n"/>
      <c r="C27" s="18" t="n"/>
      <c r="D27" s="19" t="n"/>
      <c r="E27" s="17" t="n"/>
      <c r="F27" s="20" t="n"/>
      <c r="G27" s="19" t="n"/>
      <c r="H27" s="20" t="n"/>
      <c r="I27" s="19" t="n"/>
      <c r="J27" s="17" t="n"/>
      <c r="K27" s="20" t="n"/>
      <c r="L27" s="21" t="n"/>
      <c r="M27" s="22" t="n"/>
      <c r="N27" s="20" t="n"/>
      <c r="O27" s="19" t="n"/>
      <c r="P27" s="18" t="n"/>
      <c r="Q27" s="25" t="n"/>
      <c r="R27" s="26" t="n"/>
      <c r="S27" s="19" t="n"/>
      <c r="T27" s="26" t="n"/>
      <c r="U27" s="25" t="n"/>
      <c r="V27" s="26" t="n"/>
      <c r="W27" s="82" t="n"/>
      <c r="X27" s="26" t="n"/>
      <c r="Y27" s="82" t="n"/>
      <c r="Z27" s="26" t="n"/>
      <c r="AA27" s="19" t="n"/>
      <c r="AB27" s="26" t="n"/>
      <c r="AC27" s="82" t="n"/>
      <c r="AD27" s="26" t="n"/>
      <c r="AE27" s="28" t="n"/>
      <c r="AF27" s="17" t="n"/>
      <c r="AG27" s="62" t="n"/>
      <c r="AH27" s="87" t="n"/>
      <c r="AI27" s="88" t="n"/>
      <c r="AJ27" s="89" t="n"/>
      <c r="AK27" s="88" t="n"/>
    </row>
    <row r="28">
      <c r="A28" s="92" t="n"/>
      <c r="B28" s="35" t="n"/>
      <c r="C28" s="36" t="n"/>
      <c r="D28" s="37" t="n"/>
      <c r="E28" s="35" t="n"/>
      <c r="F28" s="38" t="n"/>
      <c r="G28" s="37" t="n"/>
      <c r="H28" s="38" t="n"/>
      <c r="I28" s="37" t="n"/>
      <c r="J28" s="35" t="n"/>
      <c r="K28" s="38" t="n"/>
      <c r="L28" s="39" t="n"/>
      <c r="M28" s="40" t="n"/>
      <c r="N28" s="38" t="n"/>
      <c r="O28" s="37" t="n"/>
      <c r="P28" s="36" t="n"/>
      <c r="Q28" s="41" t="n"/>
      <c r="R28" s="42" t="n"/>
      <c r="S28" s="37" t="n"/>
      <c r="T28" s="42" t="n"/>
      <c r="U28" s="41" t="n"/>
      <c r="V28" s="42" t="n"/>
      <c r="W28" s="53" t="n"/>
      <c r="X28" s="42" t="n"/>
      <c r="Y28" s="94" t="inlineStr">
        <is>
          <t>Sloupec11</t>
        </is>
      </c>
      <c r="Z28" s="95" t="inlineStr">
        <is>
          <t>Datum</t>
        </is>
      </c>
      <c r="AA28" s="94" t="inlineStr">
        <is>
          <t>Sloupec12</t>
        </is>
      </c>
      <c r="AB28" s="95" t="inlineStr">
        <is>
          <t>Datum</t>
        </is>
      </c>
      <c r="AC28" s="94" t="inlineStr">
        <is>
          <t>Sloupec13</t>
        </is>
      </c>
      <c r="AD28" s="95" t="inlineStr">
        <is>
          <t>Datum</t>
        </is>
      </c>
      <c r="AE28" s="44" t="n"/>
      <c r="AF28" s="35" t="n"/>
      <c r="AG28" s="45" t="n"/>
      <c r="AH28" s="87" t="n"/>
      <c r="AI28" s="88" t="n"/>
      <c r="AJ28" s="89" t="n"/>
      <c r="AK28" s="88" t="n"/>
    </row>
    <row r="29">
      <c r="A29" s="96" t="n"/>
      <c r="B29" s="17" t="n"/>
      <c r="C29" s="76" t="n"/>
      <c r="D29" s="77" t="n"/>
      <c r="E29" s="17" t="n"/>
      <c r="F29" s="78" t="n"/>
      <c r="G29" s="79" t="n"/>
      <c r="H29" s="80" t="n"/>
      <c r="I29" s="77" t="n"/>
      <c r="J29" s="17" t="n"/>
      <c r="K29" s="78" t="n"/>
      <c r="L29" s="81" t="n"/>
      <c r="M29" s="22" t="n"/>
      <c r="N29" s="20" t="n"/>
      <c r="O29" s="25" t="n"/>
      <c r="P29" s="76" t="n"/>
      <c r="Q29" s="25" t="n"/>
      <c r="R29" s="26" t="n"/>
      <c r="S29" s="19" t="n"/>
      <c r="T29" s="26" t="n"/>
      <c r="U29" s="25" t="n"/>
      <c r="V29" s="26" t="n"/>
      <c r="W29" s="82" t="n"/>
      <c r="X29" s="26" t="n"/>
      <c r="Y29" s="97" t="n"/>
      <c r="Z29" s="26" t="n"/>
      <c r="AA29" s="25" t="n"/>
      <c r="AB29" s="83" t="n"/>
      <c r="AC29" s="82" t="n"/>
      <c r="AD29" s="83" t="n"/>
      <c r="AE29" s="85" t="n"/>
      <c r="AF29" s="17" t="n"/>
      <c r="AG29" s="98" t="n"/>
      <c r="AH29" s="87" t="n"/>
      <c r="AI29" s="88" t="n"/>
      <c r="AJ29" s="89" t="n"/>
      <c r="AK29" s="88" t="n"/>
    </row>
    <row r="30">
      <c r="A30" s="92" t="n"/>
      <c r="B30" s="35" t="n"/>
      <c r="C30" s="36" t="n"/>
      <c r="D30" s="37" t="n"/>
      <c r="E30" s="35" t="n"/>
      <c r="F30" s="38" t="n"/>
      <c r="G30" s="37" t="n"/>
      <c r="H30" s="38" t="n"/>
      <c r="I30" s="37" t="n"/>
      <c r="J30" s="35" t="n"/>
      <c r="K30" s="38" t="n"/>
      <c r="L30" s="39" t="n"/>
      <c r="M30" s="40" t="n"/>
      <c r="N30" s="38" t="n"/>
      <c r="O30" s="37" t="n"/>
      <c r="P30" s="36" t="n"/>
      <c r="Q30" s="41" t="n"/>
      <c r="R30" s="42" t="n"/>
      <c r="S30" s="37" t="n"/>
      <c r="T30" s="42" t="n"/>
      <c r="U30" s="41" t="n"/>
      <c r="V30" s="42" t="n"/>
      <c r="W30" s="53" t="n"/>
      <c r="X30" s="42" t="n"/>
      <c r="Y30" s="53" t="n"/>
      <c r="Z30" s="42" t="n"/>
      <c r="AA30" s="41" t="n"/>
      <c r="AB30" s="42" t="n"/>
      <c r="AC30" s="53" t="n"/>
      <c r="AD30" s="42" t="n"/>
      <c r="AE30" s="44" t="n"/>
      <c r="AF30" s="35" t="n"/>
      <c r="AG30" s="54" t="n"/>
      <c r="AH30" s="87" t="n"/>
      <c r="AI30" s="88" t="n"/>
      <c r="AJ30" s="89" t="n"/>
      <c r="AK30" s="88" t="n"/>
    </row>
    <row r="31">
      <c r="A31" s="16" t="n"/>
      <c r="B31" s="17" t="n"/>
      <c r="C31" s="18" t="n"/>
      <c r="D31" s="19" t="n"/>
      <c r="E31" s="17" t="n"/>
      <c r="F31" s="20" t="n"/>
      <c r="G31" s="19" t="n"/>
      <c r="H31" s="20" t="n"/>
      <c r="I31" s="19" t="n"/>
      <c r="J31" s="17" t="n"/>
      <c r="K31" s="20" t="n"/>
      <c r="L31" s="21" t="n"/>
      <c r="M31" s="22" t="n"/>
      <c r="N31" s="20" t="n"/>
      <c r="O31" s="19" t="n"/>
      <c r="P31" s="18" t="n"/>
      <c r="Q31" s="25" t="n"/>
      <c r="R31" s="26" t="n"/>
      <c r="S31" s="19" t="n"/>
      <c r="T31" s="26" t="n"/>
      <c r="U31" s="25" t="n"/>
      <c r="V31" s="26" t="n"/>
      <c r="W31" s="82" t="n"/>
      <c r="X31" s="26" t="n"/>
      <c r="Y31" s="82" t="n"/>
      <c r="Z31" s="26" t="n"/>
      <c r="AA31" s="25" t="n"/>
      <c r="AB31" s="26" t="n"/>
      <c r="AC31" s="82" t="n"/>
      <c r="AD31" s="26" t="n"/>
      <c r="AE31" s="28" t="n"/>
      <c r="AF31" s="17" t="n"/>
      <c r="AG31" s="29" t="n"/>
      <c r="AH31" s="87" t="n"/>
      <c r="AI31" s="88" t="n"/>
      <c r="AJ31" s="89" t="n"/>
      <c r="AK31" s="88" t="n"/>
    </row>
    <row r="32">
      <c r="A32" s="92" t="n"/>
      <c r="B32" s="35" t="n"/>
      <c r="C32" s="36" t="n"/>
      <c r="D32" s="37" t="n"/>
      <c r="E32" s="35" t="n"/>
      <c r="F32" s="38" t="n"/>
      <c r="G32" s="37" t="n"/>
      <c r="H32" s="38" t="n"/>
      <c r="I32" s="37" t="n"/>
      <c r="J32" s="35" t="n"/>
      <c r="K32" s="38" t="n"/>
      <c r="L32" s="39" t="n"/>
      <c r="M32" s="40" t="n"/>
      <c r="N32" s="38" t="n"/>
      <c r="O32" s="37" t="n"/>
      <c r="P32" s="36" t="n"/>
      <c r="Q32" s="41" t="n"/>
      <c r="R32" s="42" t="n"/>
      <c r="S32" s="37" t="n"/>
      <c r="T32" s="42" t="n"/>
      <c r="U32" s="41" t="n"/>
      <c r="V32" s="42" t="n"/>
      <c r="W32" s="53" t="n"/>
      <c r="X32" s="42" t="n"/>
      <c r="Y32" s="53" t="n"/>
      <c r="Z32" s="42" t="n"/>
      <c r="AA32" s="41" t="n"/>
      <c r="AB32" s="42" t="n"/>
      <c r="AC32" s="53" t="n"/>
      <c r="AD32" s="42" t="n"/>
      <c r="AE32" s="44" t="n"/>
      <c r="AF32" s="35" t="n"/>
      <c r="AG32" s="54" t="n"/>
      <c r="AH32" s="87" t="n"/>
      <c r="AI32" s="88" t="n"/>
      <c r="AJ32" s="89" t="n"/>
      <c r="AK32" s="88" t="n"/>
    </row>
    <row r="33">
      <c r="A33" s="16" t="n"/>
      <c r="B33" s="17" t="n"/>
      <c r="C33" s="18" t="n"/>
      <c r="D33" s="19" t="n"/>
      <c r="E33" s="17" t="n"/>
      <c r="F33" s="20" t="n"/>
      <c r="G33" s="19" t="n"/>
      <c r="H33" s="20" t="n"/>
      <c r="I33" s="19" t="n"/>
      <c r="J33" s="17" t="n"/>
      <c r="K33" s="20" t="n"/>
      <c r="L33" s="21" t="n"/>
      <c r="M33" s="22" t="n"/>
      <c r="N33" s="20" t="n"/>
      <c r="O33" s="19" t="n"/>
      <c r="P33" s="18" t="n"/>
      <c r="Q33" s="25" t="n"/>
      <c r="R33" s="26" t="n"/>
      <c r="S33" s="19" t="n"/>
      <c r="T33" s="26" t="n"/>
      <c r="U33" s="25" t="n"/>
      <c r="V33" s="26" t="n"/>
      <c r="W33" s="82" t="n"/>
      <c r="X33" s="26" t="n"/>
      <c r="Y33" s="82" t="n"/>
      <c r="Z33" s="26" t="n"/>
      <c r="AA33" s="19" t="n"/>
      <c r="AB33" s="26" t="n"/>
      <c r="AC33" s="82" t="n"/>
      <c r="AD33" s="26" t="n"/>
      <c r="AE33" s="28" t="n"/>
      <c r="AF33" s="17" t="n"/>
      <c r="AG33" s="29" t="n"/>
      <c r="AH33" s="87" t="n"/>
      <c r="AI33" s="88" t="n"/>
      <c r="AJ33" s="89" t="n"/>
      <c r="AK33" s="88" t="n"/>
    </row>
    <row r="34">
      <c r="A34" s="92" t="n"/>
      <c r="B34" s="35" t="n"/>
      <c r="C34" s="36" t="n"/>
      <c r="D34" s="37" t="n"/>
      <c r="E34" s="35" t="n"/>
      <c r="F34" s="38" t="n"/>
      <c r="G34" s="37" t="n"/>
      <c r="H34" s="38" t="n"/>
      <c r="I34" s="37" t="n"/>
      <c r="J34" s="35" t="n"/>
      <c r="K34" s="38" t="n"/>
      <c r="L34" s="39" t="n"/>
      <c r="M34" s="40" t="n"/>
      <c r="N34" s="38" t="n"/>
      <c r="O34" s="37" t="n"/>
      <c r="P34" s="36" t="n"/>
      <c r="Q34" s="41" t="n"/>
      <c r="R34" s="42" t="n"/>
      <c r="S34" s="37" t="n"/>
      <c r="T34" s="42" t="n"/>
      <c r="U34" s="41" t="n"/>
      <c r="V34" s="42" t="n"/>
      <c r="W34" s="53" t="n"/>
      <c r="X34" s="42" t="n"/>
      <c r="Y34" s="53" t="n"/>
      <c r="Z34" s="42" t="n"/>
      <c r="AA34" s="37" t="n"/>
      <c r="AB34" s="42" t="n"/>
      <c r="AC34" s="53" t="n"/>
      <c r="AD34" s="42" t="n"/>
      <c r="AE34" s="44" t="n"/>
      <c r="AF34" s="35" t="n"/>
      <c r="AG34" s="54" t="n"/>
      <c r="AH34" s="87" t="n"/>
      <c r="AI34" s="88" t="n"/>
      <c r="AJ34" s="89" t="n"/>
      <c r="AK34" s="88" t="n"/>
    </row>
    <row r="35">
      <c r="A35" s="16" t="n"/>
      <c r="B35" s="17" t="n"/>
      <c r="C35" s="18" t="n"/>
      <c r="D35" s="19" t="n"/>
      <c r="E35" s="17" t="n"/>
      <c r="F35" s="20" t="n"/>
      <c r="G35" s="19" t="n"/>
      <c r="H35" s="20" t="n"/>
      <c r="I35" s="19" t="n"/>
      <c r="J35" s="17" t="n"/>
      <c r="K35" s="20" t="n"/>
      <c r="L35" s="21" t="n"/>
      <c r="M35" s="22" t="n"/>
      <c r="N35" s="20" t="n"/>
      <c r="O35" s="19" t="n"/>
      <c r="P35" s="18" t="n"/>
      <c r="Q35" s="25" t="n"/>
      <c r="R35" s="26" t="n"/>
      <c r="S35" s="19" t="n"/>
      <c r="T35" s="26" t="n"/>
      <c r="U35" s="25" t="n"/>
      <c r="V35" s="26" t="n"/>
      <c r="W35" s="82" t="n"/>
      <c r="X35" s="26" t="n"/>
      <c r="Y35" s="82" t="n"/>
      <c r="Z35" s="26" t="n"/>
      <c r="AA35" s="19" t="n"/>
      <c r="AB35" s="26" t="n"/>
      <c r="AC35" s="82" t="n"/>
      <c r="AD35" s="26" t="n"/>
      <c r="AE35" s="28" t="n"/>
      <c r="AF35" s="17" t="n"/>
      <c r="AG35" s="29" t="n"/>
      <c r="AH35" s="87" t="n"/>
      <c r="AI35" s="88" t="n"/>
      <c r="AJ35" s="89" t="n"/>
      <c r="AK35" s="88" t="n"/>
    </row>
    <row r="36">
      <c r="A36" s="92" t="n"/>
      <c r="B36" s="35" t="n"/>
      <c r="C36" s="36" t="n"/>
      <c r="D36" s="37" t="n"/>
      <c r="E36" s="35" t="n"/>
      <c r="F36" s="38" t="n"/>
      <c r="G36" s="37" t="n"/>
      <c r="H36" s="38" t="n"/>
      <c r="I36" s="37" t="n"/>
      <c r="J36" s="35" t="n"/>
      <c r="K36" s="38" t="n"/>
      <c r="L36" s="39" t="n"/>
      <c r="M36" s="40" t="n"/>
      <c r="N36" s="38" t="n"/>
      <c r="O36" s="37" t="n"/>
      <c r="P36" s="36" t="n"/>
      <c r="Q36" s="41" t="n"/>
      <c r="R36" s="42" t="n"/>
      <c r="S36" s="37" t="n"/>
      <c r="T36" s="42" t="n"/>
      <c r="U36" s="41" t="n"/>
      <c r="V36" s="42" t="n"/>
      <c r="W36" s="53" t="n"/>
      <c r="X36" s="42" t="n"/>
      <c r="Y36" s="53" t="n"/>
      <c r="Z36" s="42" t="n"/>
      <c r="AA36" s="41" t="n"/>
      <c r="AB36" s="42" t="n"/>
      <c r="AC36" s="53" t="n"/>
      <c r="AD36" s="42" t="n"/>
      <c r="AE36" s="44" t="n"/>
      <c r="AF36" s="35" t="n"/>
      <c r="AG36" s="54" t="n"/>
      <c r="AH36" s="87" t="n"/>
      <c r="AI36" s="88" t="n"/>
      <c r="AJ36" s="89" t="n"/>
      <c r="AK36" s="88" t="n"/>
    </row>
    <row r="37">
      <c r="A37" s="16" t="n"/>
      <c r="B37" s="17" t="n"/>
      <c r="C37" s="18" t="n"/>
      <c r="D37" s="19" t="n"/>
      <c r="E37" s="17" t="n"/>
      <c r="F37" s="20" t="n"/>
      <c r="G37" s="19" t="n"/>
      <c r="H37" s="20" t="n"/>
      <c r="I37" s="19" t="n"/>
      <c r="J37" s="17" t="n"/>
      <c r="K37" s="20" t="n"/>
      <c r="L37" s="21" t="n"/>
      <c r="M37" s="22" t="n"/>
      <c r="N37" s="20" t="n"/>
      <c r="O37" s="19" t="n"/>
      <c r="P37" s="18" t="n"/>
      <c r="Q37" s="25" t="n"/>
      <c r="R37" s="26" t="n"/>
      <c r="S37" s="19" t="n"/>
      <c r="T37" s="26" t="n"/>
      <c r="U37" s="25" t="n"/>
      <c r="V37" s="26" t="n"/>
      <c r="W37" s="82" t="n"/>
      <c r="X37" s="26" t="n"/>
      <c r="Y37" s="82" t="n"/>
      <c r="Z37" s="26" t="n"/>
      <c r="AA37" s="25" t="n"/>
      <c r="AB37" s="26" t="n"/>
      <c r="AC37" s="82" t="n"/>
      <c r="AD37" s="26" t="n"/>
      <c r="AE37" s="28" t="n"/>
      <c r="AF37" s="17" t="n"/>
      <c r="AG37" s="29" t="n"/>
      <c r="AH37" s="99" t="n"/>
      <c r="AI37" s="59" t="n"/>
      <c r="AJ37" s="59" t="n"/>
      <c r="AK37" s="59" t="n"/>
    </row>
    <row r="38">
      <c r="A38" s="92" t="n"/>
      <c r="B38" s="35" t="n"/>
      <c r="C38" s="36" t="n"/>
      <c r="D38" s="37" t="n"/>
      <c r="E38" s="35" t="n"/>
      <c r="F38" s="38" t="n"/>
      <c r="G38" s="37" t="n"/>
      <c r="H38" s="38" t="n"/>
      <c r="I38" s="37" t="n"/>
      <c r="J38" s="35" t="n"/>
      <c r="K38" s="38" t="n"/>
      <c r="L38" s="39" t="n"/>
      <c r="M38" s="40" t="n"/>
      <c r="N38" s="38" t="n"/>
      <c r="O38" s="37" t="n"/>
      <c r="P38" s="36" t="n"/>
      <c r="Q38" s="41" t="n"/>
      <c r="R38" s="42" t="n"/>
      <c r="S38" s="37" t="n"/>
      <c r="T38" s="42" t="n"/>
      <c r="U38" s="41" t="n"/>
      <c r="V38" s="42" t="n"/>
      <c r="W38" s="53" t="n"/>
      <c r="X38" s="42" t="n"/>
      <c r="Y38" s="53" t="n"/>
      <c r="Z38" s="42" t="n"/>
      <c r="AA38" s="37" t="n"/>
      <c r="AB38" s="42" t="n"/>
      <c r="AC38" s="53" t="n"/>
      <c r="AD38" s="42" t="n"/>
      <c r="AE38" s="44" t="n"/>
      <c r="AF38" s="35" t="n"/>
      <c r="AG38" s="54" t="n"/>
      <c r="AH38" s="99" t="n"/>
      <c r="AI38" s="59" t="n"/>
      <c r="AJ38" s="59" t="n"/>
      <c r="AK38" s="59" t="n"/>
    </row>
    <row r="39">
      <c r="A39" s="16" t="n"/>
      <c r="B39" s="17" t="n"/>
      <c r="C39" s="18" t="n"/>
      <c r="D39" s="19" t="n"/>
      <c r="E39" s="17" t="n"/>
      <c r="F39" s="20" t="n"/>
      <c r="G39" s="19" t="n"/>
      <c r="H39" s="20" t="n"/>
      <c r="I39" s="19" t="n"/>
      <c r="J39" s="17" t="n"/>
      <c r="K39" s="20" t="n"/>
      <c r="L39" s="21" t="n"/>
      <c r="M39" s="22" t="n"/>
      <c r="N39" s="20" t="n"/>
      <c r="O39" s="19" t="n"/>
      <c r="P39" s="18" t="n"/>
      <c r="Q39" s="25" t="n"/>
      <c r="R39" s="26" t="n"/>
      <c r="S39" s="19" t="n"/>
      <c r="T39" s="26" t="n"/>
      <c r="U39" s="25" t="n"/>
      <c r="V39" s="26" t="n"/>
      <c r="W39" s="82" t="n"/>
      <c r="X39" s="26" t="n"/>
      <c r="Y39" s="82" t="n"/>
      <c r="Z39" s="26" t="n"/>
      <c r="AA39" s="19" t="n"/>
      <c r="AB39" s="26" t="n"/>
      <c r="AC39" s="82" t="n"/>
      <c r="AD39" s="26" t="n"/>
      <c r="AE39" s="28" t="n"/>
      <c r="AF39" s="17" t="n"/>
      <c r="AG39" s="29" t="n"/>
      <c r="AH39" s="99" t="n"/>
      <c r="AI39" s="88" t="n"/>
      <c r="AJ39" s="89" t="n"/>
      <c r="AK39" s="88" t="n"/>
    </row>
    <row r="40">
      <c r="A40" s="92" t="n"/>
      <c r="B40" s="35" t="n"/>
      <c r="C40" s="36" t="n"/>
      <c r="D40" s="37" t="n"/>
      <c r="E40" s="35" t="n"/>
      <c r="F40" s="38" t="n"/>
      <c r="G40" s="37" t="n"/>
      <c r="H40" s="38" t="n"/>
      <c r="I40" s="37" t="n"/>
      <c r="J40" s="35" t="n"/>
      <c r="K40" s="38" t="n"/>
      <c r="L40" s="39" t="n"/>
      <c r="M40" s="40" t="n"/>
      <c r="N40" s="38" t="n"/>
      <c r="O40" s="37" t="n"/>
      <c r="P40" s="36" t="n"/>
      <c r="Q40" s="41" t="n"/>
      <c r="R40" s="42" t="n"/>
      <c r="S40" s="37" t="n"/>
      <c r="T40" s="42" t="n"/>
      <c r="U40" s="41" t="n"/>
      <c r="V40" s="42" t="n"/>
      <c r="W40" s="53" t="n"/>
      <c r="X40" s="42" t="n"/>
      <c r="Y40" s="53" t="n"/>
      <c r="Z40" s="42" t="n"/>
      <c r="AA40" s="41" t="n"/>
      <c r="AB40" s="42" t="n"/>
      <c r="AC40" s="53" t="n"/>
      <c r="AD40" s="42" t="n"/>
      <c r="AE40" s="44" t="n"/>
      <c r="AF40" s="35" t="n"/>
      <c r="AG40" s="54" t="n"/>
      <c r="AH40" s="99" t="n"/>
      <c r="AI40" s="59" t="n"/>
      <c r="AJ40" s="59" t="n"/>
      <c r="AK40" s="59" t="n"/>
    </row>
    <row r="41">
      <c r="A41" s="16" t="n"/>
      <c r="B41" s="17" t="n"/>
      <c r="C41" s="18" t="n"/>
      <c r="D41" s="19" t="n"/>
      <c r="E41" s="17" t="n"/>
      <c r="F41" s="20" t="n"/>
      <c r="G41" s="19" t="n"/>
      <c r="H41" s="20" t="n"/>
      <c r="I41" s="19" t="n"/>
      <c r="J41" s="17" t="n"/>
      <c r="K41" s="20" t="n"/>
      <c r="L41" s="21" t="n"/>
      <c r="M41" s="22" t="n"/>
      <c r="N41" s="20" t="n"/>
      <c r="O41" s="19" t="n"/>
      <c r="P41" s="18" t="n"/>
      <c r="Q41" s="25" t="n"/>
      <c r="R41" s="26" t="n"/>
      <c r="S41" s="19" t="n"/>
      <c r="T41" s="26" t="n"/>
      <c r="U41" s="25" t="n"/>
      <c r="V41" s="26" t="n"/>
      <c r="W41" s="82" t="n"/>
      <c r="X41" s="26" t="n"/>
      <c r="Y41" s="82" t="n"/>
      <c r="Z41" s="26" t="n"/>
      <c r="AA41" s="25" t="n"/>
      <c r="AB41" s="26" t="n"/>
      <c r="AC41" s="82" t="n"/>
      <c r="AD41" s="26" t="n"/>
      <c r="AE41" s="28" t="n"/>
      <c r="AF41" s="17" t="n"/>
      <c r="AG41" s="29" t="n"/>
      <c r="AH41" s="99" t="n"/>
      <c r="AI41" s="59" t="n"/>
      <c r="AJ41" s="59" t="n"/>
      <c r="AK41" s="59" t="n"/>
    </row>
    <row r="42">
      <c r="A42" s="100" t="n"/>
      <c r="B42" s="101" t="n"/>
      <c r="C42" s="102" t="n"/>
      <c r="D42" s="103" t="n"/>
      <c r="E42" s="104" t="n"/>
      <c r="F42" s="105" t="n"/>
      <c r="G42" s="106" t="n"/>
      <c r="H42" s="107" t="n"/>
      <c r="I42" s="103" t="n"/>
      <c r="J42" s="108" t="n"/>
      <c r="K42" s="105" t="n"/>
      <c r="L42" s="109" t="n"/>
      <c r="M42" s="110" t="n"/>
      <c r="N42" s="107" t="n"/>
      <c r="O42" s="103" t="n"/>
      <c r="P42" s="111" t="n"/>
      <c r="Q42" s="112" t="n"/>
      <c r="R42" s="113" t="n"/>
      <c r="S42" s="106" t="n"/>
      <c r="T42" s="113" t="n"/>
      <c r="U42" s="112" t="n"/>
      <c r="V42" s="113" t="n"/>
      <c r="W42" s="114" t="n"/>
      <c r="X42" s="113" t="n"/>
      <c r="Y42" s="114" t="n"/>
      <c r="Z42" s="113" t="n"/>
      <c r="AA42" s="112" t="n"/>
      <c r="AB42" s="113" t="n"/>
      <c r="AC42" s="114" t="n"/>
      <c r="AD42" s="113" t="n"/>
      <c r="AE42" s="115" t="n"/>
      <c r="AF42" s="101" t="n"/>
      <c r="AG42" s="116" t="n"/>
      <c r="AH42" s="99" t="n"/>
      <c r="AI42" s="59" t="n"/>
      <c r="AJ42" s="59" t="n"/>
      <c r="AK42" s="59" t="n"/>
    </row>
    <row r="43">
      <c r="A43" s="170" t="inlineStr">
        <is>
          <t xml:space="preserve">   C   e   l   k   e   m   </t>
        </is>
      </c>
      <c r="C43" s="171" t="n"/>
      <c r="D43" s="119" t="inlineStr">
        <is>
          <t>Celkem</t>
        </is>
      </c>
      <c r="E43" s="119" t="inlineStr">
        <is>
          <t>Monese</t>
        </is>
      </c>
      <c r="F43" s="120" t="inlineStr">
        <is>
          <t>Celkem</t>
        </is>
      </c>
      <c r="G43" s="172" t="inlineStr">
        <is>
          <t>Celkem</t>
        </is>
      </c>
      <c r="H43" s="171" t="n"/>
      <c r="I43" s="172" t="inlineStr">
        <is>
          <t xml:space="preserve">   C   e   l   k   e   m   </t>
        </is>
      </c>
      <c r="K43" s="171" t="n"/>
      <c r="L43" s="173" t="inlineStr">
        <is>
          <t xml:space="preserve">   C   e   l   k   e   m   </t>
        </is>
      </c>
      <c r="N43" s="171" t="n"/>
      <c r="O43" s="172" t="inlineStr">
        <is>
          <t xml:space="preserve">  C  e  l  k  e  m  </t>
        </is>
      </c>
      <c r="P43" s="171" t="n"/>
      <c r="Q43" s="172" t="inlineStr">
        <is>
          <t xml:space="preserve">  C  e  l  k  e  m  </t>
        </is>
      </c>
      <c r="R43" s="171" t="n"/>
      <c r="S43" s="172" t="inlineStr">
        <is>
          <t xml:space="preserve">  C  e  l  k  e  m  </t>
        </is>
      </c>
      <c r="T43" s="171" t="n"/>
      <c r="U43" s="172" t="inlineStr">
        <is>
          <t xml:space="preserve">  C  e  l  k  e  m  </t>
        </is>
      </c>
      <c r="V43" s="171" t="n"/>
      <c r="W43" s="172" t="inlineStr">
        <is>
          <t xml:space="preserve">  C  e  l  k  e  m  </t>
        </is>
      </c>
      <c r="X43" s="171" t="n"/>
      <c r="Y43" s="172" t="inlineStr">
        <is>
          <t xml:space="preserve">  C  e  l  k  e  m  </t>
        </is>
      </c>
      <c r="Z43" s="171" t="n"/>
      <c r="AA43" s="172" t="inlineStr">
        <is>
          <t xml:space="preserve">   C   e   l   k   e   m   </t>
        </is>
      </c>
      <c r="AB43" s="171" t="n"/>
      <c r="AC43" s="172" t="inlineStr">
        <is>
          <t xml:space="preserve">   C   e   l   k   e   m   </t>
        </is>
      </c>
      <c r="AD43" s="171" t="n"/>
      <c r="AE43" s="173" t="inlineStr">
        <is>
          <t xml:space="preserve">   C   e   l   k   e   m   </t>
        </is>
      </c>
      <c r="AG43" s="171" t="n"/>
      <c r="AH43" s="99" t="n"/>
      <c r="AI43" s="59" t="n"/>
      <c r="AJ43" s="59" t="n"/>
      <c r="AK43" s="59" t="n"/>
    </row>
    <row r="44">
      <c r="A44" s="123">
        <f>SUM(A3:A42)</f>
        <v/>
      </c>
      <c r="B44" s="124" t="n"/>
      <c r="C44" s="125">
        <f>SUM(C3:C42)</f>
        <v/>
      </c>
      <c r="D44" s="126">
        <f>SUM(D3:D42)</f>
        <v/>
      </c>
      <c r="E44" s="127" t="n">
        <v>0</v>
      </c>
      <c r="F44" s="128">
        <f>SUM(F3:F42)</f>
        <v/>
      </c>
      <c r="G44" s="127">
        <f>SUM(G3:G42)</f>
        <v/>
      </c>
      <c r="H44" s="129">
        <f>SUM(H3:H42)</f>
        <v/>
      </c>
      <c r="I44" s="127">
        <f>SUM(I3:I42)</f>
        <v/>
      </c>
      <c r="J44" s="130" t="n"/>
      <c r="K44" s="129">
        <f>SUM(K3:K42)</f>
        <v/>
      </c>
      <c r="L44" s="131">
        <f>SUM(L3:L42)</f>
        <v/>
      </c>
      <c r="M44" s="126" t="inlineStr">
        <is>
          <t xml:space="preserve">Hotově </t>
        </is>
      </c>
      <c r="N44" s="128" t="inlineStr">
        <is>
          <t>Kartou</t>
        </is>
      </c>
      <c r="O44" s="132">
        <f>O3+O5</f>
        <v/>
      </c>
      <c r="P44" s="133" t="inlineStr">
        <is>
          <t xml:space="preserve">Celkem </t>
        </is>
      </c>
      <c r="Q44" s="132">
        <f>SUM(Q3:Q38)</f>
        <v/>
      </c>
      <c r="R44" s="133" t="inlineStr">
        <is>
          <t>Celkem</t>
        </is>
      </c>
      <c r="S44" s="132">
        <f>SUM(S3:S42)</f>
        <v/>
      </c>
      <c r="T44" s="133" t="inlineStr">
        <is>
          <t>Celkem</t>
        </is>
      </c>
      <c r="U44" s="132">
        <f>SUM(U3:U42)</f>
        <v/>
      </c>
      <c r="V44" s="133" t="inlineStr">
        <is>
          <t>Celkem</t>
        </is>
      </c>
      <c r="W44" s="132">
        <f>SUM(W3:W42)</f>
        <v/>
      </c>
      <c r="X44" s="133" t="inlineStr">
        <is>
          <t>Celkem</t>
        </is>
      </c>
      <c r="Y44" s="132">
        <f>SUM(Y3:Y14)</f>
        <v/>
      </c>
      <c r="Z44" s="133">
        <f>Y2</f>
        <v/>
      </c>
      <c r="AA44" s="132">
        <f>SUM(AA3:AA14)</f>
        <v/>
      </c>
      <c r="AB44" s="133">
        <f>AA2</f>
        <v/>
      </c>
      <c r="AC44" s="132">
        <f>SUM(AC3:AC14)</f>
        <v/>
      </c>
      <c r="AD44" s="133">
        <f>AC2</f>
        <v/>
      </c>
      <c r="AE44" s="131">
        <f>SUM(AE3:AE42)</f>
        <v/>
      </c>
      <c r="AF44" s="130" t="n"/>
      <c r="AG44" s="129">
        <f>SUM(AG3:AG42)</f>
        <v/>
      </c>
      <c r="AH44" s="99" t="n"/>
      <c r="AI44" s="59" t="n"/>
      <c r="AJ44" s="59" t="n"/>
      <c r="AK44" s="59" t="n"/>
    </row>
    <row r="45">
      <c r="A45" s="134" t="n"/>
      <c r="B45" s="135" t="n"/>
      <c r="C45" s="136" t="n"/>
      <c r="D45" s="135" t="n"/>
      <c r="E45" s="135" t="n"/>
      <c r="F45" s="136" t="n"/>
      <c r="G45" s="135" t="n"/>
      <c r="H45" s="136" t="n"/>
      <c r="I45" s="135" t="n"/>
      <c r="J45" s="135" t="n"/>
      <c r="K45" s="136" t="n"/>
      <c r="L45" s="135" t="n"/>
      <c r="M45" s="137">
        <f>N3+N4+N5+N6+N7+N8+N9+N10</f>
        <v/>
      </c>
      <c r="N45" s="138" t="n"/>
      <c r="O45" s="139" t="n">
        <v>0</v>
      </c>
      <c r="P45" s="140" t="inlineStr">
        <is>
          <t>Leden</t>
        </is>
      </c>
      <c r="Q45" s="141">
        <f>Q3+Q4+Q5+Q6+Q7+Q8+Q9+Q11+Q11+Q10</f>
        <v/>
      </c>
      <c r="R45" s="140">
        <f>P45</f>
        <v/>
      </c>
      <c r="S45" s="139">
        <f>S44</f>
        <v/>
      </c>
      <c r="T45" s="140">
        <f>P45</f>
        <v/>
      </c>
      <c r="U45" s="139" t="n">
        <v>0</v>
      </c>
      <c r="V45" s="140">
        <f>P45</f>
        <v/>
      </c>
      <c r="W45" s="139" t="n">
        <v>0</v>
      </c>
      <c r="X45" s="140">
        <f>P45</f>
        <v/>
      </c>
      <c r="Y45" s="139" t="n">
        <v>0</v>
      </c>
      <c r="Z45" s="140">
        <f>P45</f>
        <v/>
      </c>
      <c r="AA45" s="139" t="n">
        <v>0</v>
      </c>
      <c r="AB45" s="140">
        <f>P45</f>
        <v/>
      </c>
      <c r="AC45" s="139" t="n">
        <v>0</v>
      </c>
      <c r="AD45" s="140">
        <f>P45</f>
        <v/>
      </c>
      <c r="AE45" s="135" t="n"/>
      <c r="AF45" s="135" t="n"/>
      <c r="AG45" s="136" t="n"/>
      <c r="AH45" s="99" t="n"/>
      <c r="AI45" s="59" t="n"/>
      <c r="AJ45" s="59" t="n"/>
      <c r="AK45" s="59" t="n"/>
    </row>
    <row r="46">
      <c r="A46" s="142" t="n"/>
      <c r="B46" s="143" t="n"/>
      <c r="C46" s="144" t="n"/>
      <c r="D46" s="143" t="n"/>
      <c r="E46" s="143" t="n"/>
      <c r="F46" s="144" t="n"/>
      <c r="G46" s="143" t="n"/>
      <c r="H46" s="144" t="n"/>
      <c r="I46" s="143" t="n"/>
      <c r="J46" s="143" t="n"/>
      <c r="K46" s="144" t="n"/>
      <c r="L46" s="143" t="n"/>
      <c r="M46" s="143" t="n"/>
      <c r="N46" s="144" t="n"/>
      <c r="O46" s="145">
        <f>O44-O45</f>
        <v/>
      </c>
      <c r="P46" s="146" t="inlineStr">
        <is>
          <t>Únor</t>
        </is>
      </c>
      <c r="Q46" s="147" t="n"/>
      <c r="R46" s="146">
        <f>P46</f>
        <v/>
      </c>
      <c r="S46" s="147" t="n"/>
      <c r="T46" s="146">
        <f>P46</f>
        <v/>
      </c>
      <c r="U46" s="145">
        <f>U44-U45</f>
        <v/>
      </c>
      <c r="V46" s="146">
        <f>P46</f>
        <v/>
      </c>
      <c r="W46" s="148">
        <f>W44-W45</f>
        <v/>
      </c>
      <c r="X46" s="146">
        <f>P46</f>
        <v/>
      </c>
      <c r="Y46" s="148">
        <f>Y44-Y45</f>
        <v/>
      </c>
      <c r="Z46" s="146">
        <f>P46</f>
        <v/>
      </c>
      <c r="AA46" s="148">
        <f>AA44-AA45</f>
        <v/>
      </c>
      <c r="AB46" s="146">
        <f>P46</f>
        <v/>
      </c>
      <c r="AC46" s="148">
        <f>AC44-AC45</f>
        <v/>
      </c>
      <c r="AD46" s="146">
        <f>P46</f>
        <v/>
      </c>
      <c r="AE46" s="143" t="n"/>
      <c r="AF46" s="143" t="n"/>
      <c r="AG46" s="144" t="n"/>
      <c r="AH46" s="99" t="n"/>
      <c r="AI46" s="59" t="n"/>
      <c r="AJ46" s="59" t="n"/>
      <c r="AK46" s="59" t="n"/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149" t="n"/>
      <c r="P47" s="59" t="n"/>
      <c r="Q47" s="150" t="n"/>
      <c r="R47" s="99" t="n"/>
      <c r="S47" s="59" t="n"/>
      <c r="T47" s="59" t="n"/>
      <c r="U47" s="151" t="n"/>
      <c r="V47" s="99" t="n"/>
      <c r="W47" s="59" t="n"/>
      <c r="X47" s="152" t="n"/>
      <c r="Y47" s="132">
        <f>SUM(Y16:Y27)</f>
        <v/>
      </c>
      <c r="Z47" s="133">
        <f>Y15</f>
        <v/>
      </c>
      <c r="AA47" s="132">
        <f>SUM(AA16:AA27)</f>
        <v/>
      </c>
      <c r="AB47" s="133">
        <f>AA15</f>
        <v/>
      </c>
      <c r="AC47" s="132">
        <f>SUM(AC16:AC27)</f>
        <v/>
      </c>
      <c r="AD47" s="133">
        <f>AC15</f>
        <v/>
      </c>
      <c r="AE47" s="59" t="n"/>
      <c r="AF47" s="59" t="n"/>
      <c r="AG47" s="59" t="n"/>
      <c r="AH47" s="99" t="n"/>
      <c r="AI47" s="59" t="n"/>
      <c r="AJ47" s="59" t="n"/>
      <c r="AK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150" t="n"/>
      <c r="R48" s="99" t="n"/>
      <c r="S48" s="59" t="n"/>
      <c r="T48" s="59" t="n"/>
      <c r="U48" s="153" t="n"/>
      <c r="V48" s="59" t="n"/>
      <c r="W48" s="59" t="n"/>
      <c r="X48" s="152" t="n"/>
      <c r="Y48" s="139" t="n">
        <v>0</v>
      </c>
      <c r="Z48" s="140">
        <f>P45</f>
        <v/>
      </c>
      <c r="AA48" s="139" t="n">
        <v>0</v>
      </c>
      <c r="AB48" s="140">
        <f>P45</f>
        <v/>
      </c>
      <c r="AC48" s="139" t="n">
        <v>0</v>
      </c>
      <c r="AD48" s="140">
        <f>P45</f>
        <v/>
      </c>
      <c r="AE48" s="59" t="n"/>
      <c r="AF48" s="59" t="n"/>
      <c r="AG48" s="59" t="n"/>
      <c r="AH48" s="99" t="n"/>
      <c r="AI48" s="59" t="n"/>
      <c r="AJ48" s="59" t="n"/>
      <c r="AK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150" t="n"/>
      <c r="R49" s="99" t="n"/>
      <c r="S49" s="59" t="n"/>
      <c r="T49" s="59" t="n"/>
      <c r="U49" s="59" t="n"/>
      <c r="V49" s="59" t="n"/>
      <c r="W49" s="59" t="n"/>
      <c r="X49" s="152" t="n"/>
      <c r="Y49" s="148">
        <f>Y47-Y48</f>
        <v/>
      </c>
      <c r="Z49" s="146">
        <f>P46</f>
        <v/>
      </c>
      <c r="AA49" s="148">
        <f>AA47-AA48</f>
        <v/>
      </c>
      <c r="AB49" s="146">
        <f>P46</f>
        <v/>
      </c>
      <c r="AC49" s="148">
        <f>AC47-AC48</f>
        <v/>
      </c>
      <c r="AD49" s="146">
        <f>P46</f>
        <v/>
      </c>
      <c r="AE49" s="59" t="n"/>
      <c r="AF49" s="59" t="n"/>
      <c r="AG49" s="59" t="n"/>
      <c r="AH49" s="99" t="n"/>
      <c r="AI49" s="59" t="n"/>
      <c r="AJ49" s="59" t="n"/>
      <c r="AK49" s="59" t="n"/>
    </row>
    <row r="50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152" t="n"/>
      <c r="Y50" s="132">
        <f>SUM(Y30:Y42)</f>
        <v/>
      </c>
      <c r="Z50" s="133">
        <f>Y28</f>
        <v/>
      </c>
      <c r="AA50" s="132">
        <f>SUM(AA30:AA42)</f>
        <v/>
      </c>
      <c r="AB50" s="133">
        <f>AA28</f>
        <v/>
      </c>
      <c r="AC50" s="132">
        <f>SUM(AC30:AC42)</f>
        <v/>
      </c>
      <c r="AD50" s="154">
        <f>AC28</f>
        <v/>
      </c>
      <c r="AE50" s="59" t="n"/>
      <c r="AF50" s="59" t="n"/>
      <c r="AG50" s="59" t="n"/>
      <c r="AH50" s="99" t="n"/>
      <c r="AI50" s="59" t="n"/>
      <c r="AJ50" s="59" t="n"/>
      <c r="AK50" s="59" t="n"/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149" t="n"/>
      <c r="R51" s="59" t="n"/>
      <c r="S51" s="59" t="n"/>
      <c r="T51" s="59" t="n"/>
      <c r="U51" s="59" t="n"/>
      <c r="V51" s="59" t="n"/>
      <c r="W51" s="59" t="n"/>
      <c r="X51" s="152" t="n"/>
      <c r="Y51" s="139" t="n">
        <v>0</v>
      </c>
      <c r="Z51" s="140">
        <f>P45</f>
        <v/>
      </c>
      <c r="AA51" s="139" t="n">
        <v>0</v>
      </c>
      <c r="AB51" s="140">
        <f>P45</f>
        <v/>
      </c>
      <c r="AC51" s="139" t="n">
        <v>0</v>
      </c>
      <c r="AD51" s="140">
        <f>P45</f>
        <v/>
      </c>
      <c r="AE51" s="59" t="n"/>
      <c r="AF51" s="59" t="n"/>
      <c r="AG51" s="59" t="n"/>
      <c r="AH51" s="99" t="n"/>
      <c r="AI51" s="59" t="n"/>
      <c r="AJ51" s="59" t="n"/>
      <c r="AK51" s="59" t="n"/>
    </row>
    <row r="52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149" t="n"/>
      <c r="R52" s="59" t="n"/>
      <c r="S52" s="59" t="n"/>
      <c r="T52" s="59" t="n"/>
      <c r="U52" s="59" t="n"/>
      <c r="V52" s="59" t="n"/>
      <c r="W52" s="59" t="n"/>
      <c r="X52" s="152" t="n"/>
      <c r="Y52" s="148">
        <f>Y50-Y51</f>
        <v/>
      </c>
      <c r="Z52" s="146">
        <f>P46</f>
        <v/>
      </c>
      <c r="AA52" s="148">
        <f>AA50-AA51</f>
        <v/>
      </c>
      <c r="AB52" s="146">
        <f>P46</f>
        <v/>
      </c>
      <c r="AC52" s="148">
        <f>AC50-AC51</f>
        <v/>
      </c>
      <c r="AD52" s="146">
        <f>P46</f>
        <v/>
      </c>
      <c r="AE52" s="59" t="n"/>
      <c r="AF52" s="59" t="n"/>
      <c r="AG52" s="59" t="n"/>
      <c r="AH52" s="99" t="n"/>
      <c r="AI52" s="59" t="n"/>
      <c r="AJ52" s="59" t="n"/>
      <c r="AK52" s="59" t="n"/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99" t="n"/>
      <c r="AI53" s="59" t="n"/>
      <c r="AJ53" s="59" t="n"/>
      <c r="AK53" s="59" t="n"/>
    </row>
    <row r="54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87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99" t="n"/>
      <c r="AI54" s="59" t="n"/>
      <c r="AJ54" s="59" t="n"/>
      <c r="AK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87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99" t="n"/>
      <c r="AI55" s="59" t="n"/>
      <c r="AJ55" s="59" t="n"/>
      <c r="AK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99" t="n"/>
      <c r="AI56" s="59" t="n"/>
      <c r="AJ56" s="59" t="n"/>
      <c r="AK56" s="59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  <c r="AD57" s="59" t="n"/>
      <c r="AE57" s="59" t="n"/>
      <c r="AF57" s="59" t="n"/>
      <c r="AG57" s="59" t="n"/>
      <c r="AH57" s="99" t="n"/>
      <c r="AI57" s="59" t="n"/>
      <c r="AJ57" s="59" t="n"/>
      <c r="AK57" s="59" t="n"/>
    </row>
    <row r="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  <c r="AD58" s="59" t="n"/>
      <c r="AE58" s="59" t="n"/>
      <c r="AF58" s="59" t="n"/>
      <c r="AG58" s="59" t="n"/>
      <c r="AH58" s="99" t="n"/>
      <c r="AI58" s="59" t="n"/>
      <c r="AJ58" s="59" t="n"/>
      <c r="AK58" s="59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14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  <c r="AD59" s="59" t="n"/>
      <c r="AE59" s="59" t="n"/>
      <c r="AF59" s="59" t="n"/>
      <c r="AG59" s="59" t="n"/>
      <c r="AH59" s="99" t="n"/>
      <c r="AI59" s="59" t="n"/>
      <c r="AJ59" s="59" t="n"/>
      <c r="AK59" s="59" t="n"/>
    </row>
    <row r="60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  <c r="AC60" s="59" t="n"/>
      <c r="AD60" s="59" t="n"/>
      <c r="AE60" s="59" t="n"/>
      <c r="AF60" s="59" t="n"/>
      <c r="AG60" s="59" t="n"/>
      <c r="AH60" s="99" t="n"/>
      <c r="AI60" s="59" t="n"/>
      <c r="AJ60" s="59" t="n"/>
      <c r="AK60" s="59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87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  <c r="AD61" s="59" t="n"/>
      <c r="AE61" s="59" t="n"/>
      <c r="AF61" s="59" t="n"/>
      <c r="AG61" s="59" t="n"/>
      <c r="AH61" s="99" t="n"/>
      <c r="AI61" s="59" t="n"/>
      <c r="AJ61" s="59" t="n"/>
      <c r="AK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  <c r="AC62" s="59" t="n"/>
      <c r="AD62" s="59" t="n"/>
      <c r="AE62" s="59" t="n"/>
      <c r="AF62" s="59" t="n"/>
      <c r="AG62" s="59" t="n"/>
      <c r="AH62" s="99" t="n"/>
      <c r="AI62" s="59" t="n"/>
      <c r="AJ62" s="59" t="n"/>
      <c r="AK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  <c r="AD63" s="59" t="n"/>
      <c r="AE63" s="59" t="n"/>
      <c r="AF63" s="59" t="n"/>
      <c r="AG63" s="59" t="n"/>
      <c r="AH63" s="99" t="n"/>
      <c r="AI63" s="59" t="n"/>
      <c r="AJ63" s="59" t="n"/>
      <c r="AK63" s="59" t="n"/>
    </row>
    <row r="64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  <c r="AC64" s="59" t="n"/>
      <c r="AD64" s="59" t="n"/>
      <c r="AE64" s="59" t="n"/>
      <c r="AF64" s="59" t="n"/>
      <c r="AG64" s="59" t="n"/>
      <c r="AH64" s="99" t="n"/>
      <c r="AI64" s="59" t="n"/>
      <c r="AJ64" s="59" t="n"/>
      <c r="AK64" s="59" t="n"/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99" t="n"/>
      <c r="AI65" s="59" t="n"/>
      <c r="AJ65" s="59" t="n"/>
      <c r="AK65" s="59" t="n"/>
    </row>
    <row r="66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  <c r="AF66" s="59" t="n"/>
      <c r="AG66" s="59" t="n"/>
      <c r="AH66" s="99" t="n"/>
      <c r="AI66" s="59" t="n"/>
      <c r="AJ66" s="59" t="n"/>
      <c r="AK66" s="59" t="n"/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99" t="n"/>
      <c r="AI67" s="59" t="n"/>
      <c r="AJ67" s="59" t="n"/>
      <c r="AK67" s="59" t="n"/>
    </row>
    <row r="6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  <c r="AD68" s="59" t="n"/>
      <c r="AE68" s="59" t="n"/>
      <c r="AF68" s="59" t="n"/>
      <c r="AG68" s="59" t="n"/>
      <c r="AH68" s="99" t="n"/>
      <c r="AI68" s="59" t="n"/>
      <c r="AJ68" s="59" t="n"/>
      <c r="AK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99" t="n"/>
      <c r="AI69" s="59" t="n"/>
      <c r="AJ69" s="59" t="n"/>
      <c r="AK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  <c r="AF70" s="59" t="n"/>
      <c r="AG70" s="59" t="n"/>
      <c r="AH70" s="99" t="n"/>
      <c r="AI70" s="59" t="n"/>
      <c r="AJ70" s="59" t="n"/>
      <c r="AK70" s="59" t="n"/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  <c r="AD71" s="59" t="n"/>
      <c r="AE71" s="59" t="n"/>
      <c r="AF71" s="59" t="n"/>
      <c r="AG71" s="59" t="n"/>
      <c r="AH71" s="99" t="n"/>
      <c r="AI71" s="59" t="n"/>
      <c r="AJ71" s="59" t="n"/>
      <c r="AK71" s="59" t="n"/>
    </row>
    <row r="72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  <c r="AC72" s="59" t="n"/>
      <c r="AD72" s="59" t="n"/>
      <c r="AE72" s="59" t="n"/>
      <c r="AF72" s="59" t="n"/>
      <c r="AG72" s="59" t="n"/>
      <c r="AH72" s="99" t="n"/>
      <c r="AI72" s="59" t="n"/>
      <c r="AJ72" s="59" t="n"/>
      <c r="AK72" s="59" t="n"/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  <c r="AD73" s="59" t="n"/>
      <c r="AE73" s="59" t="n"/>
      <c r="AF73" s="59" t="n"/>
      <c r="AG73" s="59" t="n"/>
      <c r="AH73" s="99" t="n"/>
      <c r="AI73" s="59" t="n"/>
      <c r="AJ73" s="59" t="n"/>
      <c r="AK73" s="59" t="n"/>
    </row>
    <row r="74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  <c r="AF74" s="59" t="n"/>
      <c r="AG74" s="59" t="n"/>
      <c r="AH74" s="99" t="n"/>
      <c r="AI74" s="59" t="n"/>
      <c r="AJ74" s="59" t="n"/>
      <c r="AK74" s="59" t="n"/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  <c r="AF75" s="59" t="n"/>
      <c r="AG75" s="59" t="n"/>
      <c r="AH75" s="99" t="n"/>
      <c r="AI75" s="59" t="n"/>
      <c r="AJ75" s="59" t="n"/>
      <c r="AK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  <c r="AD76" s="59" t="n"/>
      <c r="AE76" s="59" t="n"/>
      <c r="AF76" s="59" t="n"/>
      <c r="AG76" s="59" t="n"/>
      <c r="AH76" s="99" t="n"/>
      <c r="AI76" s="59" t="n"/>
      <c r="AJ76" s="59" t="n"/>
      <c r="AK76" s="59" t="n"/>
    </row>
  </sheetData>
  <mergeCells count="25">
    <mergeCell ref="G43:H43"/>
    <mergeCell ref="Y43:Z43"/>
    <mergeCell ref="AA43:AB43"/>
    <mergeCell ref="Q43:R43"/>
    <mergeCell ref="S43:T43"/>
    <mergeCell ref="I43:K43"/>
    <mergeCell ref="L1:N1"/>
    <mergeCell ref="AH4:AI4"/>
    <mergeCell ref="AE1:AG1"/>
    <mergeCell ref="AH1:AI1"/>
    <mergeCell ref="I1:K1"/>
    <mergeCell ref="O1:P1"/>
    <mergeCell ref="AC43:AD43"/>
    <mergeCell ref="A43:C43"/>
    <mergeCell ref="AH9:AI9"/>
    <mergeCell ref="W43:X43"/>
    <mergeCell ref="O43:P43"/>
    <mergeCell ref="U43:V43"/>
    <mergeCell ref="Q1:AD1"/>
    <mergeCell ref="AJ4:AK4"/>
    <mergeCell ref="G1:H1"/>
    <mergeCell ref="A1:F1"/>
    <mergeCell ref="AJ1:AK1"/>
    <mergeCell ref="L43:N43"/>
    <mergeCell ref="AE43:AG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59" min="1" max="14"/>
  </cols>
  <sheetData>
    <row r="1">
      <c r="A1" s="0" t="inlineStr">
        <is>
          <t>Měsíční výkaz práce - Leden 2025</t>
        </is>
      </c>
    </row>
    <row r="2">
      <c r="A2" s="1" t="inlineStr">
        <is>
          <t>Den</t>
        </is>
      </c>
      <c r="B2" s="1" t="inlineStr">
        <is>
          <t>Datum</t>
        </is>
      </c>
      <c r="C2" s="1" t="inlineStr">
        <is>
          <t>Den v týdnu</t>
        </is>
      </c>
      <c r="D2" s="1" t="inlineStr">
        <is>
          <t>Svátek</t>
        </is>
      </c>
      <c r="E2" s="1" t="inlineStr">
        <is>
          <t>Začátek</t>
        </is>
      </c>
      <c r="F2" s="1" t="inlineStr">
        <is>
          <t>Oběd (h)</t>
        </is>
      </c>
      <c r="G2" s="1" t="inlineStr">
        <is>
          <t>Konec</t>
        </is>
      </c>
      <c r="H2" s="1" t="inlineStr">
        <is>
          <t>Celkem hodin</t>
        </is>
      </c>
      <c r="I2" s="1" t="inlineStr">
        <is>
          <t>Přesčasy</t>
        </is>
      </c>
      <c r="J2" s="1" t="inlineStr">
        <is>
          <t>Noční práce</t>
        </is>
      </c>
      <c r="K2" s="1" t="inlineStr">
        <is>
          <t>Víkend</t>
        </is>
      </c>
      <c r="L2" s="1" t="inlineStr">
        <is>
          <t>Svátky</t>
        </is>
      </c>
      <c r="M2" s="1" t="inlineStr">
        <is>
          <t>Zaměstnanci</t>
        </is>
      </c>
      <c r="N2" s="1" t="inlineStr">
        <is>
          <t>Celkem odpracováno</t>
        </is>
      </c>
    </row>
    <row r="3">
      <c r="A3" s="0" t="n">
        <v>1</v>
      </c>
      <c r="B3" s="0" t="inlineStr">
        <is>
          <t>01.01.2025</t>
        </is>
      </c>
      <c r="C3" s="0" t="inlineStr">
        <is>
          <t>St</t>
        </is>
      </c>
      <c r="H3" s="0">
        <f>IF(AND(E3&lt;&gt;"",G3&lt;&gt;""),(G3-E3)*24-F3,0)</f>
        <v/>
      </c>
      <c r="I3" s="0">
        <f>MAX(0,H3-8)</f>
        <v/>
      </c>
      <c r="N3" s="0">
        <f>H3*M3</f>
        <v/>
      </c>
    </row>
    <row r="4">
      <c r="A4" s="0" t="n">
        <v>2</v>
      </c>
      <c r="B4" s="0" t="inlineStr">
        <is>
          <t>02.01.2025</t>
        </is>
      </c>
      <c r="C4" s="0" t="inlineStr">
        <is>
          <t>Čt</t>
        </is>
      </c>
      <c r="E4" s="174" t="n">
        <v>0.2916666666666667</v>
      </c>
      <c r="F4" s="175" t="n">
        <v>0.5</v>
      </c>
      <c r="G4" s="174" t="n">
        <v>0.6458333333333334</v>
      </c>
      <c r="H4" s="0">
        <f>IF(AND(E4&lt;&gt;"",G4&lt;&gt;""),(G4-E4)*24-F4,0)</f>
        <v/>
      </c>
      <c r="I4" s="0">
        <f>MAX(0,H4-8)</f>
        <v/>
      </c>
      <c r="M4" s="0" t="n">
        <v>3</v>
      </c>
      <c r="N4" s="0">
        <f>H4*M4</f>
        <v/>
      </c>
    </row>
    <row r="5">
      <c r="A5" s="0" t="n">
        <v>3</v>
      </c>
      <c r="B5" s="0" t="inlineStr">
        <is>
          <t>03.01.2025</t>
        </is>
      </c>
      <c r="C5" s="0" t="inlineStr">
        <is>
          <t>Pá</t>
        </is>
      </c>
      <c r="E5" s="174" t="n">
        <v>0.2916666666666667</v>
      </c>
      <c r="F5" s="175" t="n">
        <v>1</v>
      </c>
      <c r="G5" s="174" t="n">
        <v>0.6666666666666666</v>
      </c>
      <c r="H5" s="0">
        <f>IF(AND(E5&lt;&gt;"",G5&lt;&gt;""),(G5-E5)*24-F5,0)</f>
        <v/>
      </c>
      <c r="I5" s="0">
        <f>MAX(0,H5-8)</f>
        <v/>
      </c>
      <c r="M5" s="0" t="n">
        <v>3</v>
      </c>
      <c r="N5" s="0">
        <f>H5*M5</f>
        <v/>
      </c>
    </row>
    <row r="6">
      <c r="A6" s="176" t="n">
        <v>4</v>
      </c>
      <c r="B6" s="177" t="inlineStr">
        <is>
          <t>04.01.2025</t>
        </is>
      </c>
      <c r="C6" s="177" t="inlineStr">
        <is>
          <t>So</t>
        </is>
      </c>
      <c r="D6" s="177" t="n"/>
      <c r="E6" s="177" t="n"/>
      <c r="F6" s="177" t="n"/>
      <c r="G6" s="177" t="n"/>
      <c r="H6" s="176">
        <f>IF(AND(E6&lt;&gt;"",G6&lt;&gt;""),(G6-E6)*24-F6,0)</f>
        <v/>
      </c>
      <c r="I6" s="176">
        <f>MAX(0,H6-8)</f>
        <v/>
      </c>
      <c r="J6" s="177" t="n"/>
      <c r="K6" s="177" t="n"/>
      <c r="L6" s="177" t="n"/>
      <c r="M6" s="177" t="n"/>
      <c r="N6" s="176">
        <f>H6*M6</f>
        <v/>
      </c>
    </row>
    <row r="7">
      <c r="A7" s="176" t="n">
        <v>5</v>
      </c>
      <c r="B7" s="177" t="inlineStr">
        <is>
          <t>05.01.2025</t>
        </is>
      </c>
      <c r="C7" s="177" t="inlineStr">
        <is>
          <t>Ne</t>
        </is>
      </c>
      <c r="D7" s="177" t="n"/>
      <c r="E7" s="177" t="n"/>
      <c r="F7" s="177" t="n"/>
      <c r="G7" s="177" t="n"/>
      <c r="H7" s="176">
        <f>IF(AND(E7&lt;&gt;"",G7&lt;&gt;""),(G7-E7)*24-F7,0)</f>
        <v/>
      </c>
      <c r="I7" s="176">
        <f>MAX(0,H7-8)</f>
        <v/>
      </c>
      <c r="J7" s="177" t="n"/>
      <c r="K7" s="177" t="n"/>
      <c r="L7" s="177" t="n"/>
      <c r="M7" s="177" t="n"/>
      <c r="N7" s="176">
        <f>H7*M7</f>
        <v/>
      </c>
    </row>
    <row r="8">
      <c r="A8" s="0" t="n">
        <v>6</v>
      </c>
      <c r="B8" s="0" t="inlineStr">
        <is>
          <t>06.01.2025</t>
        </is>
      </c>
      <c r="C8" s="0" t="inlineStr">
        <is>
          <t>Po</t>
        </is>
      </c>
      <c r="E8" s="174" t="n">
        <v>0.3333333333333333</v>
      </c>
      <c r="F8" s="175" t="n">
        <v>0.5</v>
      </c>
      <c r="G8" s="174" t="n">
        <v>0.6875</v>
      </c>
      <c r="H8" s="0">
        <f>IF(AND(E8&lt;&gt;"",G8&lt;&gt;""),(G8-E8)*24-F8,0)</f>
        <v/>
      </c>
      <c r="I8" s="0">
        <f>MAX(0,H8-8)</f>
        <v/>
      </c>
      <c r="M8" s="0" t="n">
        <v>2</v>
      </c>
      <c r="N8" s="0">
        <f>H8*M8</f>
        <v/>
      </c>
    </row>
    <row r="9">
      <c r="A9" s="0" t="n">
        <v>7</v>
      </c>
      <c r="B9" s="0" t="inlineStr">
        <is>
          <t>07.01.2025</t>
        </is>
      </c>
      <c r="C9" s="0" t="inlineStr">
        <is>
          <t>Út</t>
        </is>
      </c>
      <c r="H9" s="0">
        <f>IF(AND(E9&lt;&gt;"",G9&lt;&gt;""),(G9-E9)*24-F9,0)</f>
        <v/>
      </c>
      <c r="I9" s="0">
        <f>MAX(0,H9-8)</f>
        <v/>
      </c>
      <c r="N9" s="0">
        <f>H9*M9</f>
        <v/>
      </c>
    </row>
    <row r="10">
      <c r="A10" s="0" t="n">
        <v>8</v>
      </c>
      <c r="B10" s="0" t="inlineStr">
        <is>
          <t>08.01.2025</t>
        </is>
      </c>
      <c r="C10" s="0" t="inlineStr">
        <is>
          <t>St</t>
        </is>
      </c>
      <c r="H10" s="0">
        <f>IF(AND(E10&lt;&gt;"",G10&lt;&gt;""),(G10-E10)*24-F10,0)</f>
        <v/>
      </c>
      <c r="I10" s="0">
        <f>MAX(0,H10-8)</f>
        <v/>
      </c>
      <c r="N10" s="0">
        <f>H10*M10</f>
        <v/>
      </c>
    </row>
    <row r="11">
      <c r="A11" s="0" t="n">
        <v>9</v>
      </c>
      <c r="B11" s="0" t="inlineStr">
        <is>
          <t>09.01.2025</t>
        </is>
      </c>
      <c r="C11" s="0" t="inlineStr">
        <is>
          <t>Čt</t>
        </is>
      </c>
      <c r="H11" s="0">
        <f>IF(AND(E11&lt;&gt;"",G11&lt;&gt;""),(G11-E11)*24-F11,0)</f>
        <v/>
      </c>
      <c r="I11" s="0">
        <f>MAX(0,H11-8)</f>
        <v/>
      </c>
      <c r="N11" s="0">
        <f>H11*M11</f>
        <v/>
      </c>
    </row>
    <row r="12">
      <c r="A12" s="0" t="n">
        <v>10</v>
      </c>
      <c r="B12" s="0" t="inlineStr">
        <is>
          <t>10.01.2025</t>
        </is>
      </c>
      <c r="C12" s="0" t="inlineStr">
        <is>
          <t>Pá</t>
        </is>
      </c>
      <c r="H12" s="0">
        <f>IF(AND(E12&lt;&gt;"",G12&lt;&gt;""),(G12-E12)*24-F12,0)</f>
        <v/>
      </c>
      <c r="I12" s="0">
        <f>MAX(0,H12-8)</f>
        <v/>
      </c>
      <c r="N12" s="0">
        <f>H12*M12</f>
        <v/>
      </c>
    </row>
    <row r="13">
      <c r="A13" s="176" t="n">
        <v>11</v>
      </c>
      <c r="B13" s="177" t="inlineStr">
        <is>
          <t>11.01.2025</t>
        </is>
      </c>
      <c r="C13" s="177" t="inlineStr">
        <is>
          <t>So</t>
        </is>
      </c>
      <c r="D13" s="177" t="n"/>
      <c r="E13" s="177" t="n"/>
      <c r="F13" s="177" t="n"/>
      <c r="G13" s="177" t="n"/>
      <c r="H13" s="176">
        <f>IF(AND(E13&lt;&gt;"",G13&lt;&gt;""),(G13-E13)*24-F13,0)</f>
        <v/>
      </c>
      <c r="I13" s="176">
        <f>MAX(0,H13-8)</f>
        <v/>
      </c>
      <c r="J13" s="177" t="n"/>
      <c r="K13" s="177" t="n"/>
      <c r="L13" s="177" t="n"/>
      <c r="M13" s="177" t="n"/>
      <c r="N13" s="176">
        <f>H13*M13</f>
        <v/>
      </c>
    </row>
    <row r="14">
      <c r="A14" s="176" t="n">
        <v>12</v>
      </c>
      <c r="B14" s="177" t="inlineStr">
        <is>
          <t>12.01.2025</t>
        </is>
      </c>
      <c r="C14" s="177" t="inlineStr">
        <is>
          <t>Ne</t>
        </is>
      </c>
      <c r="D14" s="177" t="n"/>
      <c r="E14" s="177" t="n"/>
      <c r="F14" s="177" t="n"/>
      <c r="G14" s="177" t="n"/>
      <c r="H14" s="176">
        <f>IF(AND(E14&lt;&gt;"",G14&lt;&gt;""),(G14-E14)*24-F14,0)</f>
        <v/>
      </c>
      <c r="I14" s="176">
        <f>MAX(0,H14-8)</f>
        <v/>
      </c>
      <c r="J14" s="177" t="n"/>
      <c r="K14" s="177" t="n"/>
      <c r="L14" s="177" t="n"/>
      <c r="M14" s="177" t="n"/>
      <c r="N14" s="176">
        <f>H14*M14</f>
        <v/>
      </c>
    </row>
    <row r="15">
      <c r="A15" s="0" t="n">
        <v>13</v>
      </c>
      <c r="B15" s="0" t="inlineStr">
        <is>
          <t>13.01.2025</t>
        </is>
      </c>
      <c r="C15" s="0" t="inlineStr">
        <is>
          <t>Po</t>
        </is>
      </c>
      <c r="H15" s="0">
        <f>IF(AND(E15&lt;&gt;"",G15&lt;&gt;""),(G15-E15)*24-F15,0)</f>
        <v/>
      </c>
      <c r="I15" s="0">
        <f>MAX(0,H15-8)</f>
        <v/>
      </c>
      <c r="N15" s="0">
        <f>H15*M15</f>
        <v/>
      </c>
    </row>
    <row r="16">
      <c r="A16" s="0" t="n">
        <v>14</v>
      </c>
      <c r="B16" s="0" t="inlineStr">
        <is>
          <t>14.01.2025</t>
        </is>
      </c>
      <c r="C16" s="0" t="inlineStr">
        <is>
          <t>Út</t>
        </is>
      </c>
      <c r="H16" s="0">
        <f>IF(AND(E16&lt;&gt;"",G16&lt;&gt;""),(G16-E16)*24-F16,0)</f>
        <v/>
      </c>
      <c r="I16" s="0">
        <f>MAX(0,H16-8)</f>
        <v/>
      </c>
      <c r="N16" s="0">
        <f>H16*M16</f>
        <v/>
      </c>
    </row>
    <row r="17">
      <c r="A17" s="0" t="n">
        <v>15</v>
      </c>
      <c r="B17" s="0" t="inlineStr">
        <is>
          <t>15.01.2025</t>
        </is>
      </c>
      <c r="C17" s="0" t="inlineStr">
        <is>
          <t>St</t>
        </is>
      </c>
      <c r="H17" s="0">
        <f>IF(AND(E17&lt;&gt;"",G17&lt;&gt;""),(G17-E17)*24-F17,0)</f>
        <v/>
      </c>
      <c r="I17" s="0">
        <f>MAX(0,H17-8)</f>
        <v/>
      </c>
      <c r="N17" s="0">
        <f>H17*M17</f>
        <v/>
      </c>
    </row>
    <row r="18">
      <c r="A18" s="0" t="n">
        <v>16</v>
      </c>
      <c r="B18" s="0" t="inlineStr">
        <is>
          <t>16.01.2025</t>
        </is>
      </c>
      <c r="C18" s="0" t="inlineStr">
        <is>
          <t>Čt</t>
        </is>
      </c>
      <c r="H18" s="0">
        <f>IF(AND(E18&lt;&gt;"",G18&lt;&gt;""),(G18-E18)*24-F18,0)</f>
        <v/>
      </c>
      <c r="I18" s="0">
        <f>MAX(0,H18-8)</f>
        <v/>
      </c>
      <c r="N18" s="0">
        <f>H18*M18</f>
        <v/>
      </c>
    </row>
    <row r="19">
      <c r="A19" s="0" t="n">
        <v>17</v>
      </c>
      <c r="B19" s="0" t="inlineStr">
        <is>
          <t>17.01.2025</t>
        </is>
      </c>
      <c r="C19" s="0" t="inlineStr">
        <is>
          <t>Pá</t>
        </is>
      </c>
      <c r="H19" s="0">
        <f>IF(AND(E19&lt;&gt;"",G19&lt;&gt;""),(G19-E19)*24-F19,0)</f>
        <v/>
      </c>
      <c r="I19" s="0">
        <f>MAX(0,H19-8)</f>
        <v/>
      </c>
      <c r="N19" s="0">
        <f>H19*M19</f>
        <v/>
      </c>
    </row>
    <row r="20">
      <c r="A20" s="176" t="n">
        <v>18</v>
      </c>
      <c r="B20" s="177" t="inlineStr">
        <is>
          <t>18.01.2025</t>
        </is>
      </c>
      <c r="C20" s="177" t="inlineStr">
        <is>
          <t>So</t>
        </is>
      </c>
      <c r="D20" s="177" t="n"/>
      <c r="E20" s="177" t="n"/>
      <c r="F20" s="177" t="n"/>
      <c r="G20" s="177" t="n"/>
      <c r="H20" s="176">
        <f>IF(AND(E20&lt;&gt;"",G20&lt;&gt;""),(G20-E20)*24-F20,0)</f>
        <v/>
      </c>
      <c r="I20" s="176">
        <f>MAX(0,H20-8)</f>
        <v/>
      </c>
      <c r="J20" s="177" t="n"/>
      <c r="K20" s="177" t="n"/>
      <c r="L20" s="177" t="n"/>
      <c r="M20" s="177" t="n"/>
      <c r="N20" s="176">
        <f>H20*M20</f>
        <v/>
      </c>
    </row>
    <row r="21" ht="15.75" customHeight="1" s="159">
      <c r="A21" s="176" t="n">
        <v>19</v>
      </c>
      <c r="B21" s="177" t="inlineStr">
        <is>
          <t>19.01.2025</t>
        </is>
      </c>
      <c r="C21" s="177" t="inlineStr">
        <is>
          <t>Ne</t>
        </is>
      </c>
      <c r="D21" s="177" t="n"/>
      <c r="E21" s="177" t="n"/>
      <c r="F21" s="177" t="n"/>
      <c r="G21" s="177" t="n"/>
      <c r="H21" s="176">
        <f>IF(AND(E21&lt;&gt;"",G21&lt;&gt;""),(G21-E21)*24-F21,0)</f>
        <v/>
      </c>
      <c r="I21" s="176">
        <f>MAX(0,H21-8)</f>
        <v/>
      </c>
      <c r="J21" s="177" t="n"/>
      <c r="K21" s="177" t="n"/>
      <c r="L21" s="177" t="n"/>
      <c r="M21" s="177" t="n"/>
      <c r="N21" s="176">
        <f>H21*M21</f>
        <v/>
      </c>
    </row>
    <row r="22" ht="15.75" customHeight="1" s="159">
      <c r="A22" s="0" t="n">
        <v>20</v>
      </c>
      <c r="B22" s="0" t="inlineStr">
        <is>
          <t>20.01.2025</t>
        </is>
      </c>
      <c r="C22" s="0" t="inlineStr">
        <is>
          <t>Po</t>
        </is>
      </c>
      <c r="H22" s="0">
        <f>IF(AND(E22&lt;&gt;"",G22&lt;&gt;""),(G22-E22)*24-F22,0)</f>
        <v/>
      </c>
      <c r="I22" s="0">
        <f>MAX(0,H22-8)</f>
        <v/>
      </c>
      <c r="N22" s="0">
        <f>H22*M22</f>
        <v/>
      </c>
    </row>
    <row r="23" ht="15.75" customHeight="1" s="159">
      <c r="A23" s="0" t="n">
        <v>21</v>
      </c>
      <c r="B23" s="0" t="inlineStr">
        <is>
          <t>21.01.2025</t>
        </is>
      </c>
      <c r="C23" s="0" t="inlineStr">
        <is>
          <t>Út</t>
        </is>
      </c>
      <c r="H23" s="0">
        <f>IF(AND(E23&lt;&gt;"",G23&lt;&gt;""),(G23-E23)*24-F23,0)</f>
        <v/>
      </c>
      <c r="I23" s="0">
        <f>MAX(0,H23-8)</f>
        <v/>
      </c>
      <c r="N23" s="0">
        <f>H23*M23</f>
        <v/>
      </c>
    </row>
    <row r="24" ht="15.75" customHeight="1" s="159">
      <c r="A24" s="0" t="n">
        <v>22</v>
      </c>
      <c r="B24" s="0" t="inlineStr">
        <is>
          <t>22.01.2025</t>
        </is>
      </c>
      <c r="C24" s="0" t="inlineStr">
        <is>
          <t>St</t>
        </is>
      </c>
      <c r="H24" s="0">
        <f>IF(AND(E24&lt;&gt;"",G24&lt;&gt;""),(G24-E24)*24-F24,0)</f>
        <v/>
      </c>
      <c r="I24" s="0">
        <f>MAX(0,H24-8)</f>
        <v/>
      </c>
      <c r="N24" s="0">
        <f>H24*M24</f>
        <v/>
      </c>
    </row>
    <row r="25" ht="15.75" customHeight="1" s="159">
      <c r="A25" s="0" t="n">
        <v>23</v>
      </c>
      <c r="B25" s="0" t="inlineStr">
        <is>
          <t>23.01.2025</t>
        </is>
      </c>
      <c r="C25" s="0" t="inlineStr">
        <is>
          <t>Čt</t>
        </is>
      </c>
      <c r="H25" s="0">
        <f>IF(AND(E25&lt;&gt;"",G25&lt;&gt;""),(G25-E25)*24-F25,0)</f>
        <v/>
      </c>
      <c r="I25" s="0">
        <f>MAX(0,H25-8)</f>
        <v/>
      </c>
      <c r="N25" s="0">
        <f>H25*M25</f>
        <v/>
      </c>
    </row>
    <row r="26" ht="15.75" customHeight="1" s="159">
      <c r="A26" s="0" t="n">
        <v>24</v>
      </c>
      <c r="B26" s="0" t="inlineStr">
        <is>
          <t>24.01.2025</t>
        </is>
      </c>
      <c r="C26" s="0" t="inlineStr">
        <is>
          <t>Pá</t>
        </is>
      </c>
      <c r="H26" s="0">
        <f>IF(AND(E26&lt;&gt;"",G26&lt;&gt;""),(G26-E26)*24-F26,0)</f>
        <v/>
      </c>
      <c r="I26" s="0">
        <f>MAX(0,H26-8)</f>
        <v/>
      </c>
      <c r="N26" s="0">
        <f>H26*M26</f>
        <v/>
      </c>
    </row>
    <row r="27" ht="15.75" customHeight="1" s="159">
      <c r="A27" s="176" t="n">
        <v>25</v>
      </c>
      <c r="B27" s="177" t="inlineStr">
        <is>
          <t>25.01.2025</t>
        </is>
      </c>
      <c r="C27" s="177" t="inlineStr">
        <is>
          <t>So</t>
        </is>
      </c>
      <c r="D27" s="177" t="n"/>
      <c r="E27" s="177" t="n"/>
      <c r="F27" s="177" t="n"/>
      <c r="G27" s="177" t="n"/>
      <c r="H27" s="176">
        <f>IF(AND(E27&lt;&gt;"",G27&lt;&gt;""),(G27-E27)*24-F27,0)</f>
        <v/>
      </c>
      <c r="I27" s="176">
        <f>MAX(0,H27-8)</f>
        <v/>
      </c>
      <c r="J27" s="177" t="n"/>
      <c r="K27" s="177" t="n"/>
      <c r="L27" s="177" t="n"/>
      <c r="M27" s="177" t="n"/>
      <c r="N27" s="176">
        <f>H27*M27</f>
        <v/>
      </c>
    </row>
    <row r="28" ht="15.75" customHeight="1" s="159">
      <c r="A28" s="176" t="n">
        <v>26</v>
      </c>
      <c r="B28" s="177" t="inlineStr">
        <is>
          <t>26.01.2025</t>
        </is>
      </c>
      <c r="C28" s="177" t="inlineStr">
        <is>
          <t>Ne</t>
        </is>
      </c>
      <c r="D28" s="177" t="n"/>
      <c r="E28" s="177" t="n"/>
      <c r="F28" s="177" t="n"/>
      <c r="G28" s="177" t="n"/>
      <c r="H28" s="176">
        <f>IF(AND(E28&lt;&gt;"",G28&lt;&gt;""),(G28-E28)*24-F28,0)</f>
        <v/>
      </c>
      <c r="I28" s="176">
        <f>MAX(0,H28-8)</f>
        <v/>
      </c>
      <c r="J28" s="177" t="n"/>
      <c r="K28" s="177" t="n"/>
      <c r="L28" s="177" t="n"/>
      <c r="M28" s="177" t="n"/>
      <c r="N28" s="176">
        <f>H28*M28</f>
        <v/>
      </c>
    </row>
    <row r="29" ht="15.75" customHeight="1" s="159">
      <c r="A29" s="0" t="n">
        <v>27</v>
      </c>
      <c r="B29" s="0" t="inlineStr">
        <is>
          <t>27.01.2025</t>
        </is>
      </c>
      <c r="C29" s="0" t="inlineStr">
        <is>
          <t>Po</t>
        </is>
      </c>
      <c r="H29" s="0">
        <f>IF(AND(E29&lt;&gt;"",G29&lt;&gt;""),(G29-E29)*24-F29,0)</f>
        <v/>
      </c>
      <c r="I29" s="0">
        <f>MAX(0,H29-8)</f>
        <v/>
      </c>
      <c r="N29" s="0">
        <f>H29*M29</f>
        <v/>
      </c>
    </row>
    <row r="30" ht="15.75" customHeight="1" s="159">
      <c r="A30" s="0" t="n">
        <v>28</v>
      </c>
      <c r="B30" s="0" t="inlineStr">
        <is>
          <t>28.01.2025</t>
        </is>
      </c>
      <c r="C30" s="0" t="inlineStr">
        <is>
          <t>Út</t>
        </is>
      </c>
      <c r="H30" s="0">
        <f>IF(AND(E30&lt;&gt;"",G30&lt;&gt;""),(G30-E30)*24-F30,0)</f>
        <v/>
      </c>
      <c r="I30" s="0">
        <f>MAX(0,H30-8)</f>
        <v/>
      </c>
      <c r="N30" s="0">
        <f>H30*M30</f>
        <v/>
      </c>
    </row>
    <row r="31" ht="15.75" customHeight="1" s="159">
      <c r="A31" s="0" t="n">
        <v>29</v>
      </c>
      <c r="B31" s="0" t="inlineStr">
        <is>
          <t>29.01.2025</t>
        </is>
      </c>
      <c r="C31" s="0" t="inlineStr">
        <is>
          <t>St</t>
        </is>
      </c>
      <c r="H31" s="0">
        <f>IF(AND(E31&lt;&gt;"",G31&lt;&gt;""),(G31-E31)*24-F31,0)</f>
        <v/>
      </c>
      <c r="I31" s="0">
        <f>MAX(0,H31-8)</f>
        <v/>
      </c>
      <c r="N31" s="0">
        <f>H31*M31</f>
        <v/>
      </c>
    </row>
    <row r="32" ht="15.75" customHeight="1" s="159">
      <c r="A32" s="0" t="n">
        <v>30</v>
      </c>
      <c r="B32" s="0" t="inlineStr">
        <is>
          <t>30.01.2025</t>
        </is>
      </c>
      <c r="C32" s="0" t="inlineStr">
        <is>
          <t>Čt</t>
        </is>
      </c>
      <c r="H32" s="0">
        <f>IF(AND(E32&lt;&gt;"",G32&lt;&gt;""),(G32-E32)*24-F32,0)</f>
        <v/>
      </c>
      <c r="I32" s="0">
        <f>MAX(0,H32-8)</f>
        <v/>
      </c>
      <c r="N32" s="0">
        <f>H32*M32</f>
        <v/>
      </c>
    </row>
    <row r="33" ht="15.75" customHeight="1" s="159">
      <c r="A33" s="0" t="n">
        <v>31</v>
      </c>
      <c r="B33" s="0" t="inlineStr">
        <is>
          <t>31.01.2025</t>
        </is>
      </c>
      <c r="C33" s="0" t="inlineStr">
        <is>
          <t>Pá</t>
        </is>
      </c>
      <c r="H33" s="0">
        <f>IF(AND(E33&lt;&gt;"",G33&lt;&gt;""),(G33-E33)*24-F33,0)</f>
        <v/>
      </c>
      <c r="I33" s="0">
        <f>MAX(0,H33-8)</f>
        <v/>
      </c>
      <c r="N33" s="0">
        <f>H33*M33</f>
        <v/>
      </c>
    </row>
    <row r="34" ht="15.75" customHeight="1" s="159">
      <c r="A34" s="0" t="inlineStr">
        <is>
          <t>SOUHRN:</t>
        </is>
      </c>
      <c r="H34" s="2">
        <f>SUM(H3:H33)</f>
        <v/>
      </c>
      <c r="I34" s="2">
        <f>SUM(I3:I33)</f>
        <v/>
      </c>
      <c r="N34" s="2">
        <f>SUM(N3:N33)</f>
        <v/>
      </c>
    </row>
    <row r="35" ht="15.75" customHeight="1" s="159"/>
    <row r="36" ht="15.75" customHeight="1" s="159"/>
    <row r="37" ht="15.75" customHeight="1" s="159"/>
    <row r="38" ht="15.75" customHeight="1" s="159"/>
    <row r="39" ht="15.75" customHeight="1" s="159"/>
    <row r="40" ht="15.75" customHeight="1" s="159"/>
    <row r="41" ht="15.75" customHeight="1" s="159"/>
    <row r="42" ht="15.75" customHeight="1" s="159"/>
    <row r="43" ht="15.75" customHeight="1" s="159"/>
    <row r="44" ht="15.75" customHeight="1" s="159"/>
    <row r="45" ht="15.75" customHeight="1" s="159"/>
    <row r="46" ht="15.75" customHeight="1" s="159"/>
    <row r="47" ht="15.75" customHeight="1" s="159"/>
    <row r="48" ht="15.75" customHeight="1" s="159"/>
    <row r="49" ht="15.75" customHeight="1" s="159"/>
    <row r="50" ht="15.75" customHeight="1" s="159"/>
    <row r="51" ht="15.75" customHeight="1" s="159"/>
    <row r="52" ht="15.75" customHeight="1" s="159"/>
    <row r="53" ht="15.75" customHeight="1" s="159"/>
    <row r="54" ht="15.75" customHeight="1" s="159"/>
    <row r="55" ht="15.75" customHeight="1" s="159"/>
    <row r="56" ht="15.75" customHeight="1" s="159"/>
    <row r="57" ht="15.75" customHeight="1" s="159"/>
    <row r="58" ht="15.75" customHeight="1" s="159"/>
    <row r="59" ht="15.75" customHeight="1" s="159"/>
    <row r="60" ht="15.75" customHeight="1" s="159"/>
    <row r="61" ht="15.75" customHeight="1" s="159"/>
    <row r="62" ht="15.75" customHeight="1" s="159"/>
    <row r="63" ht="15.75" customHeight="1" s="159"/>
    <row r="64" ht="15.75" customHeight="1" s="159"/>
    <row r="65" ht="15.75" customHeight="1" s="159"/>
    <row r="66" ht="15.75" customHeight="1" s="159"/>
    <row r="67" ht="15.75" customHeight="1" s="159"/>
    <row r="68" ht="15.75" customHeight="1" s="159"/>
    <row r="69" ht="15.75" customHeight="1" s="159"/>
    <row r="70" ht="15.75" customHeight="1" s="159"/>
    <row r="71" ht="15.75" customHeight="1" s="159"/>
    <row r="72" ht="15.75" customHeight="1" s="159"/>
    <row r="73" ht="15.75" customHeight="1" s="159"/>
    <row r="74" ht="15.75" customHeight="1" s="159"/>
    <row r="75" ht="15.75" customHeight="1" s="159"/>
    <row r="76" ht="15.75" customHeight="1" s="159"/>
    <row r="77" ht="15.75" customHeight="1" s="159"/>
    <row r="78" ht="15.75" customHeight="1" s="159"/>
    <row r="79" ht="15.75" customHeight="1" s="159"/>
    <row r="80" ht="15.75" customHeight="1" s="159"/>
    <row r="81" ht="15.75" customHeight="1" s="159"/>
    <row r="82" ht="15.75" customHeight="1" s="159"/>
    <row r="83" ht="15.75" customHeight="1" s="159"/>
    <row r="84" ht="15.75" customHeight="1" s="159"/>
    <row r="85" ht="15.75" customHeight="1" s="159"/>
    <row r="86" ht="15.75" customHeight="1" s="159"/>
    <row r="87" ht="15.75" customHeight="1" s="159"/>
    <row r="88" ht="15.75" customHeight="1" s="159"/>
    <row r="89" ht="15.75" customHeight="1" s="159"/>
    <row r="90" ht="15.75" customHeight="1" s="159"/>
    <row r="91" ht="15.75" customHeight="1" s="159"/>
    <row r="92" ht="15.75" customHeight="1" s="159"/>
    <row r="93" ht="15.75" customHeight="1" s="159"/>
    <row r="94" ht="15.75" customHeight="1" s="159"/>
    <row r="95" ht="15.75" customHeight="1" s="159"/>
    <row r="96" ht="15.75" customHeight="1" s="159"/>
    <row r="97" ht="15.75" customHeight="1" s="159"/>
    <row r="98" ht="15.75" customHeight="1" s="159"/>
    <row r="99" ht="15.75" customHeight="1" s="159"/>
    <row r="100" ht="15.75" customHeight="1" s="15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2026-08-31T21:31:29Z</dcterms:created>
  <dcterms:modified xsi:type="dcterms:W3CDTF">2026-08-31T22:18:39Z</dcterms:modified>
</cp:coreProperties>
</file>